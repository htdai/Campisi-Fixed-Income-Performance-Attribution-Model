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7" codeName="{3D1A710C-6663-3D7B-7F91-EC182F24A4BC}"/>
  <workbookPr filterPrivacy="1" codeName="ThisWorkbook"/>
  <xr:revisionPtr revIDLastSave="0" documentId="13_ncr:1_{CCA1D2B9-7AE7-40E0-ADE7-7BAC7AEA0201}" xr6:coauthVersionLast="36" xr6:coauthVersionMax="36" xr10:uidLastSave="{00000000-0000-0000-0000-000000000000}"/>
  <bookViews>
    <workbookView xWindow="0" yWindow="0" windowWidth="22260" windowHeight="12648" activeTab="1" xr2:uid="{00000000-000D-0000-FFFF-FFFF00000000}"/>
  </bookViews>
  <sheets>
    <sheet name="Worksheet" sheetId="1" r:id="rId1"/>
    <sheet name="广发政策性金融债" sheetId="10" r:id="rId2"/>
    <sheet name="博时富祥纯债A" sheetId="11" r:id="rId3"/>
  </sheets>
  <externalReferences>
    <externalReference r:id="rId4"/>
  </externalReferences>
  <definedNames>
    <definedName name="solver_eng" localSheetId="2" hidden="1">1</definedName>
    <definedName name="solver_neg" localSheetId="2" hidden="1">1</definedName>
    <definedName name="solver_num" localSheetId="2" hidden="1">0</definedName>
    <definedName name="solver_opt" localSheetId="2" hidden="1">博时富祥纯债A!$Y$3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10" l="1"/>
  <c r="D7" i="10"/>
  <c r="K2" i="11"/>
  <c r="C38" i="10"/>
  <c r="B38" i="10"/>
  <c r="C37" i="10"/>
  <c r="C36" i="10"/>
  <c r="C11" i="10"/>
  <c r="H6" i="10"/>
  <c r="H5" i="10"/>
  <c r="H4" i="10"/>
  <c r="H3" i="10"/>
  <c r="H2" i="10"/>
  <c r="C38" i="11"/>
  <c r="B38" i="11"/>
  <c r="C37" i="11"/>
  <c r="B37" i="11"/>
  <c r="C36" i="11"/>
  <c r="B36" i="11"/>
  <c r="C11" i="11"/>
  <c r="K6" i="11"/>
  <c r="B6" i="11"/>
  <c r="K5" i="11"/>
  <c r="B5" i="11"/>
  <c r="K4" i="11"/>
  <c r="B4" i="11"/>
  <c r="K3" i="11"/>
  <c r="B3" i="11"/>
  <c r="B2" i="11"/>
  <c r="G35" i="11" l="1"/>
  <c r="M2" i="11" l="1"/>
  <c r="C12" i="11"/>
  <c r="M3" i="11" l="1"/>
  <c r="C13" i="11" s="1"/>
  <c r="M5" i="11"/>
  <c r="M4" i="11"/>
  <c r="M6" i="11"/>
  <c r="J16" i="11"/>
  <c r="E7" i="11"/>
  <c r="C16" i="11" s="1"/>
  <c r="D7" i="11"/>
  <c r="J17" i="11"/>
  <c r="J17" i="10"/>
  <c r="G35" i="10"/>
  <c r="C16" i="10"/>
  <c r="J16" i="10" l="1"/>
  <c r="C21" i="10" s="1"/>
  <c r="C39" i="10" s="1"/>
  <c r="G34" i="10" s="1"/>
  <c r="C21" i="11"/>
  <c r="C39" i="11" s="1"/>
  <c r="G34" i="11" s="1"/>
  <c r="L4" i="11"/>
  <c r="N4" i="11" s="1"/>
  <c r="L5" i="11"/>
  <c r="N5" i="11" s="1"/>
  <c r="L2" i="11"/>
  <c r="N2" i="11" s="1"/>
  <c r="L6" i="11"/>
  <c r="N6" i="11" s="1"/>
  <c r="L3" i="11"/>
  <c r="N3" i="11" s="1"/>
  <c r="M4" i="10"/>
  <c r="L4" i="10"/>
  <c r="N4" i="10" s="1"/>
  <c r="M6" i="10"/>
  <c r="L6" i="10"/>
  <c r="N6" i="10" s="1"/>
  <c r="M2" i="10"/>
  <c r="L2" i="10"/>
  <c r="N2" i="10" s="1"/>
  <c r="M5" i="10"/>
  <c r="L5" i="10"/>
  <c r="N5" i="10" s="1"/>
  <c r="L3" i="10"/>
  <c r="N3" i="10" s="1"/>
  <c r="M3" i="10"/>
  <c r="N7" i="11" l="1"/>
  <c r="B39" i="11"/>
  <c r="L7" i="11"/>
  <c r="B34" i="11"/>
  <c r="F35" i="11" s="1"/>
  <c r="H35" i="11" s="1"/>
  <c r="M7" i="11"/>
  <c r="B35" i="11"/>
  <c r="G36" i="11"/>
  <c r="C43" i="11" s="1"/>
  <c r="C44" i="11" s="1"/>
  <c r="M7" i="10"/>
  <c r="C13" i="10"/>
  <c r="B35" i="10" s="1"/>
  <c r="L7" i="10"/>
  <c r="C12" i="10"/>
  <c r="B34" i="10" s="1"/>
  <c r="F35" i="10" s="1"/>
  <c r="H35" i="10" s="1"/>
  <c r="G36" i="10"/>
  <c r="C43" i="10" s="1"/>
  <c r="C44" i="10" s="1"/>
  <c r="F34" i="11" l="1"/>
  <c r="H34" i="11" s="1"/>
  <c r="F36" i="11"/>
  <c r="H36" i="11" s="1"/>
  <c r="G38" i="11"/>
  <c r="G38" i="10"/>
  <c r="F36" i="10"/>
  <c r="H36" i="10" s="1"/>
  <c r="B39" i="10"/>
  <c r="F34" i="10" s="1"/>
  <c r="N7" i="10"/>
  <c r="F37" i="11" l="1"/>
  <c r="F38" i="11" s="1"/>
  <c r="H34" i="10"/>
  <c r="F37" i="10"/>
  <c r="H37" i="10" s="1"/>
  <c r="H37" i="11" l="1"/>
  <c r="H38" i="11" s="1"/>
  <c r="F38" i="10"/>
  <c r="H38" i="10"/>
  <c r="O4" i="1" l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3" i="1"/>
  <c r="L8" i="1" l="1"/>
  <c r="L7" i="1"/>
  <c r="L6" i="1"/>
  <c r="L5" i="1"/>
  <c r="L4" i="1"/>
  <c r="G3" i="1" l="1"/>
  <c r="G4" i="1"/>
  <c r="H4" i="1"/>
  <c r="H3" i="1"/>
  <c r="H5" i="1" s="1"/>
  <c r="D12" i="1" s="1"/>
  <c r="D13" i="1" s="1"/>
  <c r="G5" i="1" s="1"/>
  <c r="I5" i="1" s="1"/>
  <c r="I3" i="1" l="1"/>
  <c r="G6" i="1"/>
  <c r="I6" i="1" s="1"/>
  <c r="H7" i="1"/>
  <c r="I4" i="1"/>
  <c r="G7" i="1" l="1"/>
  <c r="I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E2" authorId="0" shapeId="0" xr:uid="{81831B32-0167-4472-BFBF-2DB2E017C7D3}">
      <text>
        <r>
          <rPr>
            <b/>
            <sz val="9"/>
            <color indexed="81"/>
            <rFont val="Tahoma"/>
            <family val="2"/>
          </rPr>
          <t>如需修改，请使用Excel插件-Wind-函数-编辑函数</t>
        </r>
      </text>
    </comment>
    <comment ref="K2" authorId="0" shapeId="0" xr:uid="{36718B8D-90A3-4326-A3C8-C591143909C0}">
      <text>
        <r>
          <rPr>
            <b/>
            <sz val="9"/>
            <color indexed="81"/>
            <rFont val="Tahoma"/>
            <family val="2"/>
          </rPr>
          <t>如需修改，请使用Excel插件-Wind-函数-编辑函数</t>
        </r>
      </text>
    </comment>
    <comment ref="B36" authorId="0" shapeId="0" xr:uid="{9565DB74-B984-4692-B3EB-EB71FA6F812A}">
      <text>
        <r>
          <rPr>
            <b/>
            <sz val="9"/>
            <color indexed="81"/>
            <rFont val="Tahoma"/>
            <family val="2"/>
          </rPr>
          <t>如需修改，请使用Excel插件-Wind-函数-编辑函数</t>
        </r>
      </text>
    </comment>
    <comment ref="C36" authorId="0" shapeId="0" xr:uid="{9842C9B2-0006-429B-A93A-4515AAF361F1}">
      <text>
        <r>
          <rPr>
            <b/>
            <sz val="9"/>
            <color indexed="81"/>
            <rFont val="Tahoma"/>
            <family val="2"/>
          </rPr>
          <t>如需修改，请使用Excel插件-Wind-函数-编辑函数</t>
        </r>
      </text>
    </comment>
    <comment ref="B37" authorId="0" shapeId="0" xr:uid="{D662ED04-3FDC-408B-9281-8A37B503E5CD}">
      <text>
        <r>
          <rPr>
            <b/>
            <sz val="9"/>
            <color indexed="81"/>
            <rFont val="Tahoma"/>
            <family val="2"/>
          </rPr>
          <t>如需修改，请使用Excel插件-Wind-函数-编辑函数</t>
        </r>
      </text>
    </comment>
    <comment ref="C37" authorId="0" shapeId="0" xr:uid="{6A033127-A9EF-410A-ABB7-3D079FDD38DA}">
      <text>
        <r>
          <rPr>
            <b/>
            <sz val="9"/>
            <color indexed="81"/>
            <rFont val="Tahoma"/>
            <family val="2"/>
          </rPr>
          <t>如需修改，请使用Excel插件-Wind-函数-编辑函数</t>
        </r>
      </text>
    </comment>
    <comment ref="B38" authorId="0" shapeId="0" xr:uid="{AB2C562B-2299-4D44-9A82-A85325300D73}">
      <text>
        <r>
          <rPr>
            <b/>
            <sz val="9"/>
            <color indexed="81"/>
            <rFont val="Tahoma"/>
            <family val="2"/>
          </rPr>
          <t>如需修改，请使用Excel插件-Wind-函数-编辑函数</t>
        </r>
      </text>
    </comment>
    <comment ref="C38" authorId="0" shapeId="0" xr:uid="{EB14A83B-5A9B-495E-80FF-F9FBBC6CEED5}">
      <text>
        <r>
          <rPr>
            <b/>
            <sz val="9"/>
            <color indexed="81"/>
            <rFont val="Tahoma"/>
            <family val="2"/>
          </rPr>
          <t>如需修改，请使用Excel插件-Wind-函数-编辑函数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E2" authorId="0" shapeId="0" xr:uid="{79CC0490-6CAF-4732-857F-267926BE3427}">
      <text>
        <r>
          <rPr>
            <b/>
            <sz val="9"/>
            <color indexed="81"/>
            <rFont val="Tahoma"/>
            <family val="2"/>
          </rPr>
          <t>如需修改，请使用Excel插件-Wind-函数-编辑函数</t>
        </r>
      </text>
    </comment>
    <comment ref="G2" authorId="0" shapeId="0" xr:uid="{5A5578BB-8AAF-4861-8C17-900328AED425}">
      <text>
        <r>
          <rPr>
            <b/>
            <sz val="9"/>
            <color indexed="81"/>
            <rFont val="Tahoma"/>
            <family val="2"/>
          </rPr>
          <t>如需修改，请使用Excel插件-Wind-函数-编辑函数</t>
        </r>
      </text>
    </comment>
    <comment ref="H2" authorId="0" shapeId="0" xr:uid="{C01AEA65-C92F-4EBA-8149-F25760B9B515}">
      <text>
        <r>
          <rPr>
            <b/>
            <sz val="9"/>
            <color indexed="81"/>
            <rFont val="Tahoma"/>
            <family val="2"/>
          </rPr>
          <t>如需修改，请使用Excel插件-Wind-函数-编辑函数</t>
        </r>
      </text>
    </comment>
    <comment ref="K2" authorId="0" shapeId="0" xr:uid="{33DE8F08-8DC4-4DFC-8924-082E0EC8D4C3}">
      <text>
        <r>
          <rPr>
            <b/>
            <sz val="9"/>
            <color indexed="81"/>
            <rFont val="Tahoma"/>
            <family val="2"/>
          </rPr>
          <t>如需修改，请使用Excel插件-Wind-函数-编辑函数</t>
        </r>
      </text>
    </comment>
    <comment ref="Q3" authorId="0" shapeId="0" xr:uid="{57D5C3DB-EDF7-4985-A6B8-BF7D2F3EC266}">
      <text>
        <r>
          <rPr>
            <b/>
            <sz val="9"/>
            <color indexed="81"/>
            <rFont val="Tahoma"/>
            <family val="2"/>
          </rPr>
          <t>如需修改，请使用Excel插件-Wind-函数-编辑函数</t>
        </r>
      </text>
    </comment>
    <comment ref="R3" authorId="0" shapeId="0" xr:uid="{D22AF6B5-0BC0-44B9-9848-6D27BC77DB5E}">
      <text>
        <r>
          <rPr>
            <b/>
            <sz val="9"/>
            <color indexed="81"/>
            <rFont val="Tahoma"/>
            <family val="2"/>
          </rPr>
          <t>如需修改，请使用Excel插件-Wind-函数-编辑函数</t>
        </r>
      </text>
    </comment>
    <comment ref="B36" authorId="0" shapeId="0" xr:uid="{8109B9DD-BA69-4AE5-AE20-7CE877B28B82}">
      <text>
        <r>
          <rPr>
            <b/>
            <sz val="9"/>
            <color indexed="81"/>
            <rFont val="Tahoma"/>
            <family val="2"/>
          </rPr>
          <t>如需修改，请使用Excel插件-Wind-函数-编辑函数</t>
        </r>
      </text>
    </comment>
    <comment ref="C36" authorId="0" shapeId="0" xr:uid="{51D1CACB-51CA-4DA4-8FF9-773519B7E53F}">
      <text>
        <r>
          <rPr>
            <b/>
            <sz val="9"/>
            <color indexed="81"/>
            <rFont val="Tahoma"/>
            <family val="2"/>
          </rPr>
          <t>如需修改，请使用Excel插件-Wind-函数-编辑函数</t>
        </r>
      </text>
    </comment>
    <comment ref="B37" authorId="0" shapeId="0" xr:uid="{D709C34D-8535-484B-BC93-DAFA3807D0D8}">
      <text>
        <r>
          <rPr>
            <b/>
            <sz val="9"/>
            <color indexed="81"/>
            <rFont val="Tahoma"/>
            <family val="2"/>
          </rPr>
          <t>如需修改，请使用Excel插件-Wind-函数-编辑函数</t>
        </r>
      </text>
    </comment>
    <comment ref="C37" authorId="0" shapeId="0" xr:uid="{B1AF26A0-63A3-4779-AE55-A5EE5DC7585D}">
      <text>
        <r>
          <rPr>
            <b/>
            <sz val="9"/>
            <color indexed="81"/>
            <rFont val="Tahoma"/>
            <family val="2"/>
          </rPr>
          <t>如需修改，请使用Excel插件-Wind-函数-编辑函数</t>
        </r>
      </text>
    </comment>
    <comment ref="B38" authorId="0" shapeId="0" xr:uid="{E8942AAC-E1B8-442D-B387-4ABF578B680D}">
      <text>
        <r>
          <rPr>
            <b/>
            <sz val="9"/>
            <color indexed="81"/>
            <rFont val="Tahoma"/>
            <family val="2"/>
          </rPr>
          <t>如需修改，请使用Excel插件-Wind-函数-编辑函数</t>
        </r>
      </text>
    </comment>
    <comment ref="C38" authorId="0" shapeId="0" xr:uid="{0DC6147B-B4BA-47D4-A875-A4CD323AE1CA}">
      <text>
        <r>
          <rPr>
            <b/>
            <sz val="9"/>
            <color indexed="81"/>
            <rFont val="Tahoma"/>
            <family val="2"/>
          </rPr>
          <t>如需修改，请使用Excel插件-Wind-函数-编辑函数</t>
        </r>
      </text>
    </comment>
  </commentList>
</comments>
</file>

<file path=xl/sharedStrings.xml><?xml version="1.0" encoding="utf-8"?>
<sst xmlns="http://schemas.openxmlformats.org/spreadsheetml/2006/main" count="236" uniqueCount="145">
  <si>
    <t>输入参数</t>
  </si>
  <si>
    <t>基金</t>
  </si>
  <si>
    <t>基准</t>
  </si>
  <si>
    <t>期初久期</t>
  </si>
  <si>
    <t>票息率</t>
  </si>
  <si>
    <t>期初全价</t>
  </si>
  <si>
    <t>总收益率</t>
  </si>
  <si>
    <t>期末全价</t>
  </si>
  <si>
    <t>contribution</t>
  </si>
  <si>
    <t>alpha</t>
  </si>
  <si>
    <t>收入效应</t>
  </si>
  <si>
    <t>国债效应</t>
  </si>
  <si>
    <t>利差效应</t>
  </si>
  <si>
    <t>择券效应</t>
  </si>
  <si>
    <t>面值</t>
  </si>
  <si>
    <t>持有时长</t>
  </si>
  <si>
    <t>国债收益率变化</t>
  </si>
  <si>
    <t>基准利差效应</t>
  </si>
  <si>
    <t>基准利差变化</t>
  </si>
  <si>
    <t>国债收益率曲线</t>
  </si>
  <si>
    <t>期初</t>
  </si>
  <si>
    <t>期末</t>
  </si>
  <si>
    <t>变化</t>
  </si>
  <si>
    <t>1月</t>
  </si>
  <si>
    <t>2月</t>
  </si>
  <si>
    <t>3月</t>
  </si>
  <si>
    <t>6月</t>
  </si>
  <si>
    <t>9月</t>
  </si>
  <si>
    <t>1年</t>
  </si>
  <si>
    <t>2年</t>
  </si>
  <si>
    <t>3年</t>
  </si>
  <si>
    <t>4年</t>
  </si>
  <si>
    <t>5年</t>
  </si>
  <si>
    <t>6年</t>
  </si>
  <si>
    <t>7年</t>
  </si>
  <si>
    <t>8年</t>
  </si>
  <si>
    <t>0月</t>
  </si>
  <si>
    <t>以年为单位</t>
  </si>
  <si>
    <t>9年</t>
  </si>
  <si>
    <t>10年</t>
  </si>
  <si>
    <t>15年</t>
  </si>
  <si>
    <t>20年</t>
  </si>
  <si>
    <t>30年</t>
  </si>
  <si>
    <t>40年</t>
  </si>
  <si>
    <t>50年</t>
  </si>
  <si>
    <t>插值期限</t>
  </si>
  <si>
    <t>插值结果</t>
  </si>
  <si>
    <t>期初价格</t>
  </si>
  <si>
    <t>张数</t>
  </si>
  <si>
    <t>序号</t>
  </si>
  <si>
    <t>品种代码</t>
  </si>
  <si>
    <t>品种简称</t>
  </si>
  <si>
    <t>持仓市值(元)</t>
  </si>
  <si>
    <t>债券类型</t>
  </si>
  <si>
    <t>180409.IB</t>
  </si>
  <si>
    <t>18农发09</t>
  </si>
  <si>
    <t>政策银行债</t>
  </si>
  <si>
    <t>--</t>
  </si>
  <si>
    <t>180211.IB</t>
  </si>
  <si>
    <t>18国开11</t>
  </si>
  <si>
    <t>180412.IB</t>
  </si>
  <si>
    <t>18农发12</t>
  </si>
  <si>
    <t>160210.IB</t>
  </si>
  <si>
    <t>16国开10</t>
  </si>
  <si>
    <t>108602.SZ</t>
  </si>
  <si>
    <t>国开1704</t>
  </si>
  <si>
    <t>合计</t>
  </si>
  <si>
    <t>标准化市值权重</t>
  </si>
  <si>
    <t>A-F为2020年一季报对应数据，因此价格、久期、票面利率等均取2020年3月31日</t>
  </si>
  <si>
    <t>面值贡献</t>
  </si>
  <si>
    <t>006869.OF</t>
  </si>
  <si>
    <t>CBA02711.CS</t>
  </si>
  <si>
    <t>CBA02721.CS</t>
  </si>
  <si>
    <t>CBA02731.CS</t>
  </si>
  <si>
    <t>CBA02741.CS</t>
  </si>
  <si>
    <t>CBA02751.CS</t>
  </si>
  <si>
    <t>CBA02761.CS</t>
  </si>
  <si>
    <t>一般中期票据</t>
  </si>
  <si>
    <t>一般企业债</t>
  </si>
  <si>
    <t>CBA00321.CS</t>
  </si>
  <si>
    <t>市值加权久期</t>
  </si>
  <si>
    <t>面值加权票息率</t>
  </si>
  <si>
    <t>标准化面值权重</t>
  </si>
  <si>
    <t>利率债比例</t>
  </si>
  <si>
    <t>前五大比例</t>
  </si>
  <si>
    <t>类型</t>
  </si>
  <si>
    <t>利率债</t>
  </si>
  <si>
    <t>基准代码</t>
  </si>
  <si>
    <t>基准名称</t>
  </si>
  <si>
    <t>中债-总财富1-3年</t>
  </si>
  <si>
    <t>基金期初全价</t>
  </si>
  <si>
    <t>基金代码</t>
  </si>
  <si>
    <t>基准ytm</t>
  </si>
  <si>
    <t>基准ttm</t>
  </si>
  <si>
    <t>基准期初面值</t>
  </si>
  <si>
    <t>003258.OF</t>
  </si>
  <si>
    <t>A-F为2020年中报对应数据，因此价格、久期、票面利率等均取2020年6月30日</t>
  </si>
  <si>
    <t>16泗阳债</t>
  </si>
  <si>
    <t>16产建双创专项债</t>
  </si>
  <si>
    <t>16玉鑫债</t>
  </si>
  <si>
    <t>18滨海新城MTN002</t>
  </si>
  <si>
    <t>18宿迁经开MTN001</t>
  </si>
  <si>
    <t>最新面值</t>
  </si>
  <si>
    <t>中债-信用债1-3年</t>
  </si>
  <si>
    <t>1年以下</t>
  </si>
  <si>
    <t>1-3年</t>
  </si>
  <si>
    <t>3-5年</t>
  </si>
  <si>
    <t>5-7年</t>
  </si>
  <si>
    <t>7-10年</t>
  </si>
  <si>
    <t>10年以上</t>
  </si>
  <si>
    <t>博时富祥纯债</t>
  </si>
  <si>
    <t>回归系数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</si>
  <si>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</si>
  <si>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</si>
  <si>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</si>
  <si>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</si>
  <si>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</si>
  <si>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</si>
  <si>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</si>
  <si>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</si>
  <si>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</si>
  <si>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</si>
  <si>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</si>
  <si>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</si>
  <si>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</si>
  <si>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</si>
  <si>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</si>
  <si>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</si>
  <si>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</si>
  <si>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</si>
  <si>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</si>
  <si>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</si>
  <si>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</si>
  <si>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</si>
  <si>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</si>
  <si>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</si>
  <si>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</si>
  <si>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X Variable 2</t>
  </si>
  <si>
    <t>X Variable 3</t>
  </si>
  <si>
    <t>X Variable 4</t>
  </si>
  <si>
    <t>X Variable 5</t>
  </si>
  <si>
    <t>X Variable 6</t>
  </si>
  <si>
    <t>回归估计久期</t>
  </si>
  <si>
    <t>信用债</t>
  </si>
  <si>
    <t>占债券投资组合市值比例(%)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</si>
</sst>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000"/>
    <numFmt numFmtId="165" formatCode="0.0000%"/>
    <numFmt numFmtId="166" formatCode="###,###,###,###,##0.0000"/>
    <numFmt numFmtId="167" formatCode="#,##0.0000"/>
    <numFmt numFmtId="168" formatCode="yyyy\-mm\-dd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333333"/>
      <name val="Arial"/>
      <family val="2"/>
    </font>
    <font>
      <sz val="8"/>
      <color rgb="FF000000"/>
      <name val="Arial"/>
      <family val="2"/>
    </font>
    <font>
      <sz val="8"/>
      <color rgb="FF000000"/>
      <name val="Microsoft YaHei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9"/>
      <color theme="1"/>
      <name val="Arial"/>
      <family val="2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8E8E9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DFDFDF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65">
    <xf numFmtId="0" fontId="0" fillId="0" borderId="0" xfId="0"/>
    <xf numFmtId="0" fontId="0" fillId="0" borderId="1" xfId="0" applyBorder="1"/>
    <xf numFmtId="0" fontId="0" fillId="2" borderId="1" xfId="0" applyFill="1" applyBorder="1"/>
    <xf numFmtId="9" fontId="0" fillId="2" borderId="1" xfId="0" applyNumberFormat="1" applyFill="1" applyBorder="1"/>
    <xf numFmtId="0" fontId="0" fillId="0" borderId="1" xfId="0" applyFill="1" applyBorder="1"/>
    <xf numFmtId="10" fontId="0" fillId="2" borderId="1" xfId="0" applyNumberFormat="1" applyFill="1" applyBorder="1"/>
    <xf numFmtId="10" fontId="0" fillId="0" borderId="1" xfId="0" applyNumberFormat="1" applyBorder="1"/>
    <xf numFmtId="10" fontId="0" fillId="0" borderId="1" xfId="1" applyNumberFormat="1" applyFont="1" applyBorder="1"/>
    <xf numFmtId="10" fontId="0" fillId="3" borderId="1" xfId="0" applyNumberFormat="1" applyFill="1" applyBorder="1"/>
    <xf numFmtId="164" fontId="0" fillId="0" borderId="1" xfId="0" applyNumberFormat="1" applyBorder="1"/>
    <xf numFmtId="0" fontId="3" fillId="4" borderId="2" xfId="0" applyFont="1" applyFill="1" applyBorder="1" applyAlignment="1">
      <alignment horizontal="left" vertical="center" wrapText="1"/>
    </xf>
    <xf numFmtId="4" fontId="3" fillId="4" borderId="2" xfId="0" applyNumberFormat="1" applyFont="1" applyFill="1" applyBorder="1" applyAlignment="1">
      <alignment horizontal="right" vertical="center" wrapText="1"/>
    </xf>
    <xf numFmtId="0" fontId="3" fillId="6" borderId="2" xfId="0" applyFont="1" applyFill="1" applyBorder="1" applyAlignment="1">
      <alignment horizontal="left" vertical="center" wrapText="1"/>
    </xf>
    <xf numFmtId="4" fontId="3" fillId="6" borderId="2" xfId="0" applyNumberFormat="1" applyFont="1" applyFill="1" applyBorder="1" applyAlignment="1">
      <alignment horizontal="right" vertical="center" wrapText="1"/>
    </xf>
    <xf numFmtId="0" fontId="3" fillId="7" borderId="2" xfId="0" applyFont="1" applyFill="1" applyBorder="1" applyAlignment="1">
      <alignment horizontal="left" vertical="center" wrapText="1"/>
    </xf>
    <xf numFmtId="4" fontId="3" fillId="7" borderId="2" xfId="0" applyNumberFormat="1" applyFont="1" applyFill="1" applyBorder="1" applyAlignment="1">
      <alignment horizontal="right" vertical="center" wrapText="1"/>
    </xf>
    <xf numFmtId="0" fontId="3" fillId="6" borderId="3" xfId="0" applyFont="1" applyFill="1" applyBorder="1" applyAlignment="1">
      <alignment horizontal="left" vertical="center" wrapText="1"/>
    </xf>
    <xf numFmtId="4" fontId="3" fillId="6" borderId="3" xfId="0" applyNumberFormat="1" applyFont="1" applyFill="1" applyBorder="1" applyAlignment="1">
      <alignment horizontal="right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right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6" borderId="6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6" borderId="7" xfId="0" applyFont="1" applyFill="1" applyBorder="1" applyAlignment="1">
      <alignment horizontal="center" vertical="center" wrapText="1"/>
    </xf>
    <xf numFmtId="0" fontId="4" fillId="0" borderId="0" xfId="0" applyFont="1"/>
    <xf numFmtId="0" fontId="2" fillId="5" borderId="3" xfId="0" applyFont="1" applyFill="1" applyBorder="1" applyAlignment="1">
      <alignment horizontal="left" vertical="center" wrapText="1"/>
    </xf>
    <xf numFmtId="164" fontId="4" fillId="0" borderId="0" xfId="0" applyNumberFormat="1" applyFont="1" applyAlignment="1">
      <alignment horizontal="right"/>
    </xf>
    <xf numFmtId="164" fontId="0" fillId="0" borderId="0" xfId="0" applyNumberFormat="1" applyAlignment="1">
      <alignment horizontal="right"/>
    </xf>
    <xf numFmtId="10" fontId="0" fillId="0" borderId="0" xfId="1" applyNumberFormat="1" applyFont="1"/>
    <xf numFmtId="166" fontId="0" fillId="0" borderId="1" xfId="0" applyNumberFormat="1" applyBorder="1" applyAlignment="1">
      <alignment horizontal="right"/>
    </xf>
    <xf numFmtId="167" fontId="0" fillId="0" borderId="1" xfId="0" applyNumberFormat="1" applyBorder="1"/>
    <xf numFmtId="164" fontId="0" fillId="2" borderId="1" xfId="0" applyNumberFormat="1" applyFill="1" applyBorder="1" applyAlignment="1">
      <alignment horizontal="right"/>
    </xf>
    <xf numFmtId="164" fontId="0" fillId="0" borderId="1" xfId="0" applyNumberFormat="1" applyFill="1" applyBorder="1" applyAlignment="1">
      <alignment horizontal="right"/>
    </xf>
    <xf numFmtId="0" fontId="0" fillId="0" borderId="0" xfId="0" applyFill="1"/>
    <xf numFmtId="164" fontId="3" fillId="4" borderId="2" xfId="0" applyNumberFormat="1" applyFont="1" applyFill="1" applyBorder="1" applyAlignment="1">
      <alignment horizontal="right" vertical="center" wrapText="1"/>
    </xf>
    <xf numFmtId="0" fontId="3" fillId="0" borderId="0" xfId="0" applyFont="1"/>
    <xf numFmtId="165" fontId="0" fillId="0" borderId="0" xfId="1" applyNumberFormat="1" applyFont="1"/>
    <xf numFmtId="43" fontId="0" fillId="0" borderId="0" xfId="2" applyNumberFormat="1" applyFont="1"/>
    <xf numFmtId="164" fontId="0" fillId="0" borderId="0" xfId="0" applyNumberFormat="1"/>
    <xf numFmtId="10" fontId="0" fillId="0" borderId="0" xfId="0" applyNumberFormat="1"/>
    <xf numFmtId="165" fontId="0" fillId="2" borderId="1" xfId="0" applyNumberFormat="1" applyFill="1" applyBorder="1"/>
    <xf numFmtId="165" fontId="0" fillId="0" borderId="1" xfId="1" applyNumberFormat="1" applyFont="1" applyBorder="1"/>
    <xf numFmtId="165" fontId="0" fillId="3" borderId="1" xfId="0" applyNumberFormat="1" applyFill="1" applyBorder="1"/>
    <xf numFmtId="165" fontId="0" fillId="0" borderId="1" xfId="0" applyNumberFormat="1" applyBorder="1"/>
    <xf numFmtId="0" fontId="0" fillId="0" borderId="0" xfId="0" applyNumberFormat="1" applyAlignment="1">
      <alignment horizontal="right"/>
    </xf>
    <xf numFmtId="0" fontId="4" fillId="0" borderId="0" xfId="0" applyNumberFormat="1" applyFont="1" applyAlignment="1">
      <alignment horizontal="right"/>
    </xf>
    <xf numFmtId="9" fontId="0" fillId="0" borderId="0" xfId="0" applyNumberFormat="1"/>
    <xf numFmtId="0" fontId="3" fillId="4" borderId="2" xfId="0" applyNumberFormat="1" applyFont="1" applyFill="1" applyBorder="1" applyAlignment="1">
      <alignment horizontal="right" vertical="center" wrapText="1"/>
    </xf>
    <xf numFmtId="168" fontId="7" fillId="0" borderId="0" xfId="0" applyNumberFormat="1" applyFont="1" applyAlignment="1">
      <alignment horizontal="right"/>
    </xf>
    <xf numFmtId="164" fontId="7" fillId="0" borderId="0" xfId="0" applyNumberFormat="1" applyFont="1" applyAlignment="1">
      <alignment horizontal="right"/>
    </xf>
    <xf numFmtId="164" fontId="7" fillId="0" borderId="0" xfId="1" applyNumberFormat="1" applyFont="1" applyAlignment="1">
      <alignment horizontal="right"/>
    </xf>
    <xf numFmtId="0" fontId="0" fillId="0" borderId="0" xfId="0" applyFill="1" applyBorder="1" applyAlignment="1"/>
    <xf numFmtId="0" fontId="0" fillId="0" borderId="8" xfId="0" applyFill="1" applyBorder="1" applyAlignment="1"/>
    <xf numFmtId="0" fontId="8" fillId="0" borderId="9" xfId="0" applyFont="1" applyFill="1" applyBorder="1" applyAlignment="1">
      <alignment horizontal="center"/>
    </xf>
    <xf numFmtId="0" fontId="8" fillId="0" borderId="9" xfId="0" applyFont="1" applyFill="1" applyBorder="1" applyAlignment="1">
      <alignment horizontal="centerContinuous"/>
    </xf>
    <xf numFmtId="0" fontId="0" fillId="0" borderId="0" xfId="0" applyNumberFormat="1" applyFill="1" applyAlignment="1">
      <alignment horizontal="right"/>
    </xf>
    <xf numFmtId="164" fontId="3" fillId="0" borderId="0" xfId="0" applyNumberFormat="1" applyFont="1" applyAlignment="1">
      <alignment horizontal="right"/>
    </xf>
    <xf numFmtId="2" fontId="3" fillId="4" borderId="2" xfId="0" applyNumberFormat="1" applyFont="1" applyFill="1" applyBorder="1" applyAlignment="1">
      <alignment horizontal="right" vertical="center" wrapText="1"/>
    </xf>
    <xf numFmtId="164" fontId="0" fillId="2" borderId="1" xfId="0" applyNumberFormat="1" applyFill="1" applyBorder="1"/>
    <xf numFmtId="2" fontId="4" fillId="0" borderId="0" xfId="0" applyNumberFormat="1" applyFont="1" applyAlignment="1">
      <alignment horizontal="right"/>
    </xf>
    <xf numFmtId="2" fontId="0" fillId="0" borderId="0" xfId="0" applyNumberFormat="1" applyAlignment="1">
      <alignment horizontal="right"/>
    </xf>
    <xf numFmtId="1" fontId="4" fillId="0" borderId="0" xfId="0" applyNumberFormat="1" applyFont="1" applyAlignment="1">
      <alignment horizontal="right"/>
    </xf>
    <xf numFmtId="164" fontId="0" fillId="0" borderId="0" xfId="0" applyNumberFormat="1" applyFill="1" applyBorder="1" applyAlignment="1"/>
    <xf numFmtId="164" fontId="0" fillId="0" borderId="8" xfId="0" applyNumberFormat="1" applyFill="1" applyBorder="1" applyAlignment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4</xdr:row>
          <xdr:rowOff>114300</xdr:rowOff>
        </xdr:from>
        <xdr:to>
          <xdr:col>17</xdr:col>
          <xdr:colOff>388620</xdr:colOff>
          <xdr:row>6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Interpolate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Finance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WSS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R23"/>
  <sheetViews>
    <sheetView topLeftCell="G1" zoomScaleNormal="100" workbookViewId="0">
      <selection activeCell="P17" sqref="P17"/>
    </sheetView>
  </sheetViews>
  <sheetFormatPr defaultRowHeight="14.4"/>
  <cols>
    <col min="2" max="2" width="15.109375" bestFit="1" customWidth="1"/>
    <col min="6" max="6" width="11" bestFit="1" customWidth="1"/>
    <col min="11" max="11" width="15.109375" bestFit="1" customWidth="1"/>
    <col min="12" max="12" width="15.109375" customWidth="1"/>
  </cols>
  <sheetData>
    <row r="2" spans="2:18">
      <c r="B2" s="1" t="s">
        <v>0</v>
      </c>
      <c r="C2" s="1" t="s">
        <v>1</v>
      </c>
      <c r="D2" s="1" t="s">
        <v>2</v>
      </c>
      <c r="F2" s="1" t="s">
        <v>8</v>
      </c>
      <c r="G2" s="1" t="s">
        <v>1</v>
      </c>
      <c r="H2" s="1" t="s">
        <v>2</v>
      </c>
      <c r="I2" s="1" t="s">
        <v>9</v>
      </c>
      <c r="K2" s="1" t="s">
        <v>19</v>
      </c>
      <c r="L2" s="1" t="s">
        <v>37</v>
      </c>
      <c r="M2" s="1" t="s">
        <v>20</v>
      </c>
      <c r="N2" s="1" t="s">
        <v>21</v>
      </c>
      <c r="O2" s="1" t="s">
        <v>22</v>
      </c>
    </row>
    <row r="3" spans="2:18">
      <c r="B3" s="1" t="s">
        <v>3</v>
      </c>
      <c r="C3" s="2">
        <v>4</v>
      </c>
      <c r="D3" s="2">
        <v>6</v>
      </c>
      <c r="F3" s="1" t="s">
        <v>10</v>
      </c>
      <c r="G3" s="7">
        <f>C4*C8*C9/C5</f>
        <v>1.9417475728155338E-2</v>
      </c>
      <c r="H3" s="7">
        <f>D4*D8*D9/D5</f>
        <v>2.3809523809523808E-2</v>
      </c>
      <c r="I3" s="8">
        <f>G3-H3</f>
        <v>-4.3920480813684701E-3</v>
      </c>
      <c r="K3" s="1" t="s">
        <v>36</v>
      </c>
      <c r="L3" s="1">
        <v>0</v>
      </c>
      <c r="M3" s="30">
        <v>1.1706000000000001</v>
      </c>
      <c r="N3" s="30">
        <v>1.857</v>
      </c>
      <c r="O3" s="31">
        <f>N3-M3</f>
        <v>0.6863999999999999</v>
      </c>
      <c r="Q3" s="1" t="s">
        <v>45</v>
      </c>
      <c r="R3" s="1">
        <v>1.7468999999999999</v>
      </c>
    </row>
    <row r="4" spans="2:18">
      <c r="B4" s="1" t="s">
        <v>4</v>
      </c>
      <c r="C4" s="3">
        <v>0.04</v>
      </c>
      <c r="D4" s="3">
        <v>0.05</v>
      </c>
      <c r="F4" s="1" t="s">
        <v>11</v>
      </c>
      <c r="G4" s="7">
        <f>-C3*C10</f>
        <v>8.0000000000000002E-3</v>
      </c>
      <c r="H4" s="7">
        <f>-D3*D10</f>
        <v>1.8000000000000002E-2</v>
      </c>
      <c r="I4" s="8">
        <f t="shared" ref="I4:I6" si="0">G4-H4</f>
        <v>-1.0000000000000002E-2</v>
      </c>
      <c r="K4" s="1" t="s">
        <v>23</v>
      </c>
      <c r="L4" s="9">
        <f>1/12</f>
        <v>8.3333333333333329E-2</v>
      </c>
      <c r="M4" s="30">
        <v>1.6332</v>
      </c>
      <c r="N4" s="30">
        <v>1.9722999999999999</v>
      </c>
      <c r="O4" s="31">
        <f t="shared" ref="O4:O23" si="1">N4-M4</f>
        <v>0.33909999999999996</v>
      </c>
      <c r="Q4" s="1" t="s">
        <v>46</v>
      </c>
      <c r="R4" s="1">
        <v>0.52805820000000003</v>
      </c>
    </row>
    <row r="5" spans="2:18">
      <c r="B5" s="1" t="s">
        <v>5</v>
      </c>
      <c r="C5" s="2">
        <v>103</v>
      </c>
      <c r="D5" s="2">
        <v>105</v>
      </c>
      <c r="F5" s="1" t="s">
        <v>12</v>
      </c>
      <c r="G5" s="7">
        <f>-D13*C3</f>
        <v>-1.7873015873015874E-2</v>
      </c>
      <c r="H5" s="7">
        <f>D7-H3-H4</f>
        <v>-2.6809523809523811E-2</v>
      </c>
      <c r="I5" s="8">
        <f t="shared" si="0"/>
        <v>8.936507936507937E-3</v>
      </c>
      <c r="K5" s="1" t="s">
        <v>24</v>
      </c>
      <c r="L5" s="9">
        <f>2/12</f>
        <v>0.16666666666666666</v>
      </c>
      <c r="M5" s="30">
        <v>1.7208000000000001</v>
      </c>
      <c r="N5" s="30">
        <v>2.2887</v>
      </c>
      <c r="O5" s="31">
        <f t="shared" si="1"/>
        <v>0.56789999999999985</v>
      </c>
    </row>
    <row r="6" spans="2:18">
      <c r="B6" s="1" t="s">
        <v>7</v>
      </c>
      <c r="C6" s="4"/>
      <c r="D6" s="4"/>
      <c r="F6" s="1" t="s">
        <v>13</v>
      </c>
      <c r="G6" s="7">
        <f>C7-G3-G4-G5</f>
        <v>2.4555401448605359E-3</v>
      </c>
      <c r="H6" s="7">
        <v>0</v>
      </c>
      <c r="I6" s="8">
        <f t="shared" si="0"/>
        <v>2.4555401448605359E-3</v>
      </c>
      <c r="K6" s="1" t="s">
        <v>25</v>
      </c>
      <c r="L6" s="9">
        <f>3/12</f>
        <v>0.25</v>
      </c>
      <c r="M6" s="30">
        <v>1.7384999999999999</v>
      </c>
      <c r="N6" s="30">
        <v>2.3212999999999999</v>
      </c>
      <c r="O6" s="31">
        <f t="shared" si="1"/>
        <v>0.58279999999999998</v>
      </c>
    </row>
    <row r="7" spans="2:18">
      <c r="B7" s="1" t="s">
        <v>6</v>
      </c>
      <c r="C7" s="5">
        <v>1.2E-2</v>
      </c>
      <c r="D7" s="5">
        <v>1.4999999999999999E-2</v>
      </c>
      <c r="F7" s="1" t="s">
        <v>6</v>
      </c>
      <c r="G7" s="6">
        <f>SUM(G3:G6)</f>
        <v>1.2E-2</v>
      </c>
      <c r="H7" s="6">
        <f>SUM(H3:H6)</f>
        <v>1.4999999999999999E-2</v>
      </c>
      <c r="I7" s="8">
        <f>SUM(I3:I6)</f>
        <v>-2.9999999999999992E-3</v>
      </c>
      <c r="K7" s="1" t="s">
        <v>26</v>
      </c>
      <c r="L7" s="9">
        <f>6/12</f>
        <v>0.5</v>
      </c>
      <c r="M7" s="30">
        <v>2.0710000000000002</v>
      </c>
      <c r="N7" s="30">
        <v>2.5998999999999999</v>
      </c>
      <c r="O7" s="31">
        <f t="shared" si="1"/>
        <v>0.5288999999999997</v>
      </c>
    </row>
    <row r="8" spans="2:18">
      <c r="B8" s="1" t="s">
        <v>14</v>
      </c>
      <c r="C8" s="1">
        <v>100</v>
      </c>
      <c r="D8" s="1">
        <v>100</v>
      </c>
      <c r="K8" s="1" t="s">
        <v>27</v>
      </c>
      <c r="L8" s="9">
        <f>9/12</f>
        <v>0.75</v>
      </c>
      <c r="M8" s="30">
        <v>2.1255999999999999</v>
      </c>
      <c r="N8" s="30">
        <v>2.5857999999999999</v>
      </c>
      <c r="O8" s="31">
        <f t="shared" si="1"/>
        <v>0.46019999999999994</v>
      </c>
    </row>
    <row r="9" spans="2:18">
      <c r="B9" s="1" t="s">
        <v>15</v>
      </c>
      <c r="C9" s="2">
        <v>0.5</v>
      </c>
      <c r="D9" s="2">
        <v>0.5</v>
      </c>
      <c r="K9" s="1" t="s">
        <v>28</v>
      </c>
      <c r="L9" s="1">
        <v>1</v>
      </c>
      <c r="M9" s="30">
        <v>2.1764000000000001</v>
      </c>
      <c r="N9" s="30">
        <v>2.6461999999999999</v>
      </c>
      <c r="O9" s="31">
        <f t="shared" si="1"/>
        <v>0.46979999999999977</v>
      </c>
    </row>
    <row r="10" spans="2:18">
      <c r="B10" s="1" t="s">
        <v>16</v>
      </c>
      <c r="C10" s="5">
        <v>-2E-3</v>
      </c>
      <c r="D10" s="5">
        <v>-3.0000000000000001E-3</v>
      </c>
      <c r="K10" s="1" t="s">
        <v>29</v>
      </c>
      <c r="L10" s="1">
        <v>2</v>
      </c>
      <c r="M10" s="30">
        <v>2.2446000000000002</v>
      </c>
      <c r="N10" s="30">
        <v>2.7924000000000002</v>
      </c>
      <c r="O10" s="31">
        <f t="shared" si="1"/>
        <v>0.54780000000000006</v>
      </c>
    </row>
    <row r="11" spans="2:18">
      <c r="K11" s="1" t="s">
        <v>30</v>
      </c>
      <c r="L11" s="1">
        <v>3</v>
      </c>
      <c r="M11" s="30">
        <v>2.3881999999999999</v>
      </c>
      <c r="N11" s="30">
        <v>2.9300999999999999</v>
      </c>
      <c r="O11" s="31">
        <f t="shared" si="1"/>
        <v>0.54190000000000005</v>
      </c>
    </row>
    <row r="12" spans="2:18">
      <c r="B12" s="1" t="s">
        <v>17</v>
      </c>
      <c r="C12" s="1"/>
      <c r="D12" s="6">
        <f>H5</f>
        <v>-2.6809523809523811E-2</v>
      </c>
      <c r="K12" s="1" t="s">
        <v>31</v>
      </c>
      <c r="L12" s="1">
        <v>4</v>
      </c>
      <c r="M12" s="30">
        <v>2.4718</v>
      </c>
      <c r="N12" s="30">
        <v>2.9863</v>
      </c>
      <c r="O12" s="31">
        <f t="shared" si="1"/>
        <v>0.51449999999999996</v>
      </c>
    </row>
    <row r="13" spans="2:18">
      <c r="B13" s="1" t="s">
        <v>18</v>
      </c>
      <c r="C13" s="1"/>
      <c r="D13" s="7">
        <f>-D12/D3</f>
        <v>4.4682539682539685E-3</v>
      </c>
      <c r="K13" s="1" t="s">
        <v>32</v>
      </c>
      <c r="L13" s="1">
        <v>5</v>
      </c>
      <c r="M13" s="30">
        <v>2.5541999999999998</v>
      </c>
      <c r="N13" s="30">
        <v>3.0537000000000001</v>
      </c>
      <c r="O13" s="31">
        <f t="shared" si="1"/>
        <v>0.49950000000000028</v>
      </c>
    </row>
    <row r="14" spans="2:18">
      <c r="K14" s="1" t="s">
        <v>33</v>
      </c>
      <c r="L14" s="1">
        <v>6</v>
      </c>
      <c r="M14" s="30">
        <v>2.7235</v>
      </c>
      <c r="N14" s="30">
        <v>3.1760999999999999</v>
      </c>
      <c r="O14" s="31">
        <f t="shared" si="1"/>
        <v>0.45259999999999989</v>
      </c>
    </row>
    <row r="15" spans="2:18">
      <c r="K15" s="1" t="s">
        <v>34</v>
      </c>
      <c r="L15" s="1">
        <v>7</v>
      </c>
      <c r="M15" s="30">
        <v>2.8201999999999998</v>
      </c>
      <c r="N15" s="30">
        <v>3.2126000000000001</v>
      </c>
      <c r="O15" s="31">
        <f t="shared" si="1"/>
        <v>0.3924000000000003</v>
      </c>
    </row>
    <row r="16" spans="2:18">
      <c r="K16" s="1" t="s">
        <v>35</v>
      </c>
      <c r="L16" s="1">
        <v>8</v>
      </c>
      <c r="M16" s="30">
        <v>2.8218000000000001</v>
      </c>
      <c r="N16" s="30">
        <v>3.1850999999999998</v>
      </c>
      <c r="O16" s="31">
        <f t="shared" si="1"/>
        <v>0.36329999999999973</v>
      </c>
    </row>
    <row r="17" spans="11:15">
      <c r="K17" s="1" t="s">
        <v>38</v>
      </c>
      <c r="L17" s="1">
        <v>9</v>
      </c>
      <c r="M17" s="30">
        <v>2.8224</v>
      </c>
      <c r="N17" s="30">
        <v>3.1524000000000001</v>
      </c>
      <c r="O17" s="31">
        <f t="shared" si="1"/>
        <v>0.33000000000000007</v>
      </c>
    </row>
    <row r="18" spans="11:15">
      <c r="K18" s="1" t="s">
        <v>39</v>
      </c>
      <c r="L18" s="1">
        <v>10</v>
      </c>
      <c r="M18" s="30">
        <v>2.823</v>
      </c>
      <c r="N18" s="30">
        <v>3.1482000000000001</v>
      </c>
      <c r="O18" s="31">
        <f t="shared" si="1"/>
        <v>0.32520000000000016</v>
      </c>
    </row>
    <row r="19" spans="11:15">
      <c r="K19" s="1" t="s">
        <v>40</v>
      </c>
      <c r="L19" s="1">
        <v>15</v>
      </c>
      <c r="M19" s="30">
        <v>3.2919999999999998</v>
      </c>
      <c r="N19" s="30">
        <v>3.5990000000000002</v>
      </c>
      <c r="O19" s="31">
        <f t="shared" si="1"/>
        <v>0.30700000000000038</v>
      </c>
    </row>
    <row r="20" spans="11:15">
      <c r="K20" s="1" t="s">
        <v>41</v>
      </c>
      <c r="L20" s="1">
        <v>20</v>
      </c>
      <c r="M20" s="30">
        <v>3.4135</v>
      </c>
      <c r="N20" s="30">
        <v>3.7204999999999999</v>
      </c>
      <c r="O20" s="31">
        <f t="shared" si="1"/>
        <v>0.30699999999999994</v>
      </c>
    </row>
    <row r="21" spans="11:15">
      <c r="K21" s="1" t="s">
        <v>42</v>
      </c>
      <c r="L21" s="1">
        <v>30</v>
      </c>
      <c r="M21" s="30">
        <v>3.5590999999999999</v>
      </c>
      <c r="N21" s="30">
        <v>3.8481000000000001</v>
      </c>
      <c r="O21" s="31">
        <f t="shared" si="1"/>
        <v>0.28900000000000015</v>
      </c>
    </row>
    <row r="22" spans="11:15">
      <c r="K22" s="1" t="s">
        <v>43</v>
      </c>
      <c r="L22" s="1">
        <v>40</v>
      </c>
      <c r="M22" s="30">
        <v>3.6543999999999999</v>
      </c>
      <c r="N22" s="30">
        <v>3.9216000000000002</v>
      </c>
      <c r="O22" s="31">
        <f t="shared" si="1"/>
        <v>0.26720000000000033</v>
      </c>
    </row>
    <row r="23" spans="11:15">
      <c r="K23" s="1" t="s">
        <v>44</v>
      </c>
      <c r="L23" s="1">
        <v>50</v>
      </c>
      <c r="M23" s="30">
        <v>3.74</v>
      </c>
      <c r="N23" s="30">
        <v>3.9950000000000001</v>
      </c>
      <c r="O23" s="31">
        <f t="shared" si="1"/>
        <v>0.25499999999999989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interpolate">
                <anchor moveWithCells="1" sizeWithCells="1">
                  <from>
                    <xdr:col>16</xdr:col>
                    <xdr:colOff>228600</xdr:colOff>
                    <xdr:row>4</xdr:row>
                    <xdr:rowOff>114300</xdr:rowOff>
                  </from>
                  <to>
                    <xdr:col>17</xdr:col>
                    <xdr:colOff>388620</xdr:colOff>
                    <xdr:row>6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65050-21A3-470E-B855-0DEAFE70CC6A}">
  <sheetPr codeName="Sheet4"/>
  <dimension ref="A1:Q124"/>
  <sheetViews>
    <sheetView tabSelected="1" topLeftCell="A22" workbookViewId="0">
      <selection activeCell="G18" sqref="G18"/>
    </sheetView>
  </sheetViews>
  <sheetFormatPr defaultRowHeight="14.4"/>
  <cols>
    <col min="1" max="1" width="9" bestFit="1" customWidth="1"/>
    <col min="2" max="2" width="15.6640625" customWidth="1"/>
    <col min="3" max="3" width="16.44140625" bestFit="1" customWidth="1"/>
    <col min="4" max="4" width="9.88671875" bestFit="1" customWidth="1"/>
    <col min="5" max="5" width="11" bestFit="1" customWidth="1"/>
    <col min="7" max="7" width="22" bestFit="1" customWidth="1"/>
    <col min="8" max="8" width="11.5546875" bestFit="1" customWidth="1"/>
    <col min="10" max="10" width="11" bestFit="1" customWidth="1"/>
    <col min="11" max="11" width="11" customWidth="1"/>
    <col min="13" max="13" width="11.109375" bestFit="1" customWidth="1"/>
    <col min="14" max="14" width="21.88671875" bestFit="1" customWidth="1"/>
  </cols>
  <sheetData>
    <row r="1" spans="1:15" ht="31.2" thickBot="1">
      <c r="A1" s="18" t="s">
        <v>49</v>
      </c>
      <c r="B1" s="19" t="s">
        <v>50</v>
      </c>
      <c r="C1" s="19" t="s">
        <v>51</v>
      </c>
      <c r="D1" s="20" t="s">
        <v>52</v>
      </c>
      <c r="E1" s="20" t="s">
        <v>144</v>
      </c>
      <c r="F1" s="19" t="s">
        <v>53</v>
      </c>
      <c r="G1" s="19" t="s">
        <v>47</v>
      </c>
      <c r="H1" s="26" t="s">
        <v>48</v>
      </c>
      <c r="I1" s="26" t="s">
        <v>3</v>
      </c>
      <c r="J1" s="26" t="s">
        <v>4</v>
      </c>
      <c r="K1" s="26" t="s">
        <v>102</v>
      </c>
      <c r="L1" s="26" t="s">
        <v>67</v>
      </c>
      <c r="M1" s="26" t="s">
        <v>82</v>
      </c>
      <c r="N1" s="26" t="s">
        <v>69</v>
      </c>
    </row>
    <row r="2" spans="1:15" ht="21" thickBot="1">
      <c r="A2" s="21">
        <v>1</v>
      </c>
      <c r="B2" s="34" t="s">
        <v>54</v>
      </c>
      <c r="C2" s="10" t="s">
        <v>55</v>
      </c>
      <c r="D2" s="11">
        <v>30759000</v>
      </c>
      <c r="E2" s="58">
        <v>47.641326904296875</v>
      </c>
      <c r="F2" s="10" t="s">
        <v>56</v>
      </c>
      <c r="G2" s="27">
        <v>106.053</v>
      </c>
      <c r="H2" s="27">
        <f>[1]!WSS("006869.OF","prt_topbondquantity","unit=1","rptDate=20200331","order="&amp;A2,"ShowCodes=N", "UnitMask=1","cols=1;rows=1")</f>
        <v>300000</v>
      </c>
      <c r="I2" s="28">
        <v>1.1072</v>
      </c>
      <c r="J2" s="28">
        <v>4.24</v>
      </c>
      <c r="K2" s="28">
        <v>100</v>
      </c>
      <c r="L2" s="29">
        <f>G2*H2/SUMPRODUCT($G$2:$G$6,$H$2:$H$6)</f>
        <v>0.47913959970710163</v>
      </c>
      <c r="M2" s="29">
        <f>H2/SUM($H$2:$H$6)</f>
        <v>0.47561671634219038</v>
      </c>
      <c r="N2" s="28">
        <f>$C$11*L2*K2/G2</f>
        <v>0.46615959848169075</v>
      </c>
      <c r="O2" s="28"/>
    </row>
    <row r="3" spans="1:15" ht="21" thickBot="1">
      <c r="A3" s="22">
        <v>2</v>
      </c>
      <c r="B3" s="34" t="s">
        <v>58</v>
      </c>
      <c r="C3" s="12" t="s">
        <v>59</v>
      </c>
      <c r="D3" s="13">
        <v>10428000</v>
      </c>
      <c r="E3" s="58">
        <v>16.151493072509766</v>
      </c>
      <c r="F3" s="12" t="s">
        <v>56</v>
      </c>
      <c r="G3" s="27">
        <v>106.64109999999999</v>
      </c>
      <c r="H3" s="27">
        <f>[1]!WSS("006869.OF","prt_topbondquantity","unit=1","rptDate=20200331","order="&amp;A3,"ShowCodes=N", "UnitMask=1","cols=1;rows=1")</f>
        <v>100000</v>
      </c>
      <c r="I3" s="28">
        <v>3.0903999999999998</v>
      </c>
      <c r="J3" s="28">
        <v>3.76</v>
      </c>
      <c r="K3" s="28">
        <v>100</v>
      </c>
      <c r="L3" s="29">
        <f t="shared" ref="L3:L6" si="0">G3*H3/SUMPRODUCT($G$2:$G$6,$H$2:$H$6)</f>
        <v>0.16059886398412429</v>
      </c>
      <c r="M3" s="29">
        <f t="shared" ref="M3:M6" si="1">H3/SUM($H$2:$H$6)</f>
        <v>0.15853890544739679</v>
      </c>
      <c r="N3" s="28">
        <f>$C$11*L3*K3/G3</f>
        <v>0.15538653282723025</v>
      </c>
      <c r="O3" s="28"/>
    </row>
    <row r="4" spans="1:15" ht="21" thickBot="1">
      <c r="A4" s="23">
        <v>3</v>
      </c>
      <c r="B4" s="34" t="s">
        <v>60</v>
      </c>
      <c r="C4" s="14" t="s">
        <v>61</v>
      </c>
      <c r="D4" s="15">
        <v>10176000</v>
      </c>
      <c r="E4" s="58">
        <v>15.761180877685547</v>
      </c>
      <c r="F4" s="14" t="s">
        <v>56</v>
      </c>
      <c r="G4" s="27">
        <v>102.9443</v>
      </c>
      <c r="H4" s="27">
        <f>[1]!WSS("006869.OF","prt_topbondquantity","unit=1","rptDate=20200331","order="&amp;A4,"ShowCodes=N", "UnitMask=1","cols=1;rows=1")</f>
        <v>100000</v>
      </c>
      <c r="I4" s="28">
        <v>1.5760000000000001</v>
      </c>
      <c r="J4" s="28">
        <v>3.3</v>
      </c>
      <c r="K4" s="28">
        <v>100</v>
      </c>
      <c r="L4" s="29">
        <f t="shared" si="0"/>
        <v>0.15503157444588331</v>
      </c>
      <c r="M4" s="29">
        <f t="shared" si="1"/>
        <v>0.15853890544739679</v>
      </c>
      <c r="N4" s="28">
        <f t="shared" ref="N4:N6" si="2">$C$11*L4*K4/G4</f>
        <v>0.15538653282723025</v>
      </c>
      <c r="O4" s="28"/>
    </row>
    <row r="5" spans="1:15" ht="21" thickBot="1">
      <c r="A5" s="22">
        <v>4</v>
      </c>
      <c r="B5" s="34" t="s">
        <v>62</v>
      </c>
      <c r="C5" s="12" t="s">
        <v>63</v>
      </c>
      <c r="D5" s="13">
        <v>10121000</v>
      </c>
      <c r="E5" s="58">
        <v>15.675993919372559</v>
      </c>
      <c r="F5" s="12" t="s">
        <v>56</v>
      </c>
      <c r="G5" s="27">
        <v>104.34220000000001</v>
      </c>
      <c r="H5" s="27">
        <f>[1]!WSS("006869.OF","prt_topbondquantity","unit=1","rptDate=20200331","order="&amp;A5,"ShowCodes=N", "UnitMask=1","cols=1;rows=1")</f>
        <v>100000</v>
      </c>
      <c r="I5" s="28">
        <v>5.2484000000000002</v>
      </c>
      <c r="J5" s="28">
        <v>3.18</v>
      </c>
      <c r="K5" s="28">
        <v>100</v>
      </c>
      <c r="L5" s="29">
        <f t="shared" si="0"/>
        <v>0.15713677733635806</v>
      </c>
      <c r="M5" s="29">
        <f t="shared" si="1"/>
        <v>0.15853890544739679</v>
      </c>
      <c r="N5" s="28">
        <f t="shared" si="2"/>
        <v>0.15538653282723025</v>
      </c>
      <c r="O5" s="28"/>
    </row>
    <row r="6" spans="1:15" ht="21" thickBot="1">
      <c r="A6" s="21">
        <v>5</v>
      </c>
      <c r="B6" s="34" t="s">
        <v>64</v>
      </c>
      <c r="C6" s="10" t="s">
        <v>65</v>
      </c>
      <c r="D6" s="11">
        <v>3079691.2</v>
      </c>
      <c r="E6" s="58">
        <v>4.7700047492980957</v>
      </c>
      <c r="F6" s="10" t="s">
        <v>56</v>
      </c>
      <c r="G6" s="27">
        <v>103.81959999999999</v>
      </c>
      <c r="H6" s="27">
        <f>[1]!WSS("006869.OF","prt_topbondquantity","unit=1","rptDate=20200331","order="&amp;A6,"ShowCodes=N", "UnitMask=1","cols=1;rows=1")</f>
        <v>30760</v>
      </c>
      <c r="I6" s="28">
        <v>4.9099999999999998E-2</v>
      </c>
      <c r="J6" s="28">
        <v>3.89</v>
      </c>
      <c r="K6" s="28">
        <v>100</v>
      </c>
      <c r="L6" s="29">
        <f t="shared" si="0"/>
        <v>4.8093184526532745E-2</v>
      </c>
      <c r="M6" s="29">
        <f t="shared" si="1"/>
        <v>4.876656731561925E-2</v>
      </c>
      <c r="N6" s="28">
        <f t="shared" si="2"/>
        <v>4.7796897497656018E-2</v>
      </c>
      <c r="O6" s="28"/>
    </row>
    <row r="7" spans="1:15" ht="15">
      <c r="A7" s="24" t="s">
        <v>66</v>
      </c>
      <c r="B7" s="16" t="s">
        <v>57</v>
      </c>
      <c r="C7" s="16" t="s">
        <v>57</v>
      </c>
      <c r="D7" s="17">
        <f>SUM(D2:D6)</f>
        <v>64563691.200000003</v>
      </c>
      <c r="E7" s="17">
        <f>SUM(E2:E6)</f>
        <v>99.999999523162842</v>
      </c>
      <c r="F7" s="16" t="s">
        <v>57</v>
      </c>
      <c r="G7" s="27"/>
      <c r="H7" s="25"/>
      <c r="L7" s="40">
        <f>SUM(L2:L6)</f>
        <v>1</v>
      </c>
      <c r="M7" s="40">
        <f>SUM(M2:M6)</f>
        <v>1</v>
      </c>
      <c r="N7" s="39">
        <f>SUM(N2:N6)</f>
        <v>0.98011609446103753</v>
      </c>
      <c r="O7" s="39"/>
    </row>
    <row r="9" spans="1:15">
      <c r="B9" t="s">
        <v>68</v>
      </c>
      <c r="L9" s="28"/>
    </row>
    <row r="10" spans="1:15">
      <c r="B10" t="s">
        <v>91</v>
      </c>
      <c r="C10" t="s">
        <v>70</v>
      </c>
      <c r="H10" s="39"/>
      <c r="L10" s="34"/>
    </row>
    <row r="11" spans="1:15" ht="15">
      <c r="B11" t="s">
        <v>90</v>
      </c>
      <c r="C11" s="28">
        <f>[1]!WSS($C$10,"nav","tradeDate=20200331","ShowCodes=N","cols=1;rows=1")</f>
        <v>1.0318000000000001</v>
      </c>
      <c r="M11" s="38"/>
      <c r="N11" s="27"/>
    </row>
    <row r="12" spans="1:15">
      <c r="B12" t="s">
        <v>80</v>
      </c>
      <c r="C12">
        <f>SUMPRODUCT(I2:I6,L2:L6)</f>
        <v>2.0982258929113473</v>
      </c>
      <c r="L12" s="34"/>
    </row>
    <row r="13" spans="1:15">
      <c r="B13" t="s">
        <v>81</v>
      </c>
      <c r="C13">
        <f>SUMPRODUCT(J2:J6,M2:M6)</f>
        <v>3.829755215929989</v>
      </c>
    </row>
    <row r="14" spans="1:15" ht="15">
      <c r="B14" t="s">
        <v>83</v>
      </c>
      <c r="C14" s="47">
        <v>1</v>
      </c>
      <c r="E14" s="25"/>
    </row>
    <row r="15" spans="1:15" ht="15">
      <c r="B15" t="s">
        <v>85</v>
      </c>
      <c r="C15" t="s">
        <v>86</v>
      </c>
      <c r="E15" s="25"/>
    </row>
    <row r="16" spans="1:15" ht="15">
      <c r="B16" t="s">
        <v>84</v>
      </c>
      <c r="C16" s="40">
        <f>E7/100</f>
        <v>0.99999999523162841</v>
      </c>
      <c r="E16" s="25"/>
      <c r="J16">
        <f>C36*(1+C19/100)^(C20-INT(C20))</f>
        <v>187.89609488881814</v>
      </c>
    </row>
    <row r="17" spans="2:14" ht="15">
      <c r="B17" t="s">
        <v>87</v>
      </c>
      <c r="C17" s="34" t="s">
        <v>79</v>
      </c>
      <c r="E17" s="25"/>
      <c r="J17">
        <f>C35*100/C19+C35+(1-C35*100/C19)/(1+C19/100)^INT(C20)</f>
        <v>1.0506608176126884</v>
      </c>
      <c r="M17" s="38"/>
      <c r="N17" s="27"/>
    </row>
    <row r="18" spans="2:14" ht="15">
      <c r="B18" t="s">
        <v>88</v>
      </c>
      <c r="C18" t="s">
        <v>89</v>
      </c>
      <c r="E18" s="25"/>
      <c r="M18" s="38"/>
      <c r="N18" s="27"/>
    </row>
    <row r="19" spans="2:14" ht="15">
      <c r="B19" t="s">
        <v>92</v>
      </c>
      <c r="C19">
        <v>2.0537000000000001</v>
      </c>
      <c r="M19" s="38"/>
      <c r="N19" s="27"/>
    </row>
    <row r="20" spans="2:14" ht="15">
      <c r="B20" t="s">
        <v>93</v>
      </c>
      <c r="C20">
        <v>1.9529000000000001</v>
      </c>
      <c r="E20" s="25"/>
      <c r="M20" s="38"/>
      <c r="N20" s="27"/>
    </row>
    <row r="21" spans="2:14" ht="15">
      <c r="B21" t="s">
        <v>94</v>
      </c>
      <c r="C21">
        <f>J16/J17</f>
        <v>178.83611127305164</v>
      </c>
      <c r="E21" s="25"/>
    </row>
    <row r="22" spans="2:14" ht="15">
      <c r="E22" s="25"/>
    </row>
    <row r="23" spans="2:14" ht="15">
      <c r="E23" s="25"/>
    </row>
    <row r="24" spans="2:14" ht="15">
      <c r="E24" s="25"/>
    </row>
    <row r="27" spans="2:14" ht="15">
      <c r="E27" s="25"/>
    </row>
    <row r="28" spans="2:14" ht="15">
      <c r="E28" s="25"/>
    </row>
    <row r="29" spans="2:14" ht="15">
      <c r="E29" s="25"/>
    </row>
    <row r="30" spans="2:14" ht="15">
      <c r="E30" s="25"/>
    </row>
    <row r="31" spans="2:14" ht="15">
      <c r="E31" s="25"/>
    </row>
    <row r="33" spans="1:12">
      <c r="A33" s="1" t="s">
        <v>0</v>
      </c>
      <c r="B33" s="1" t="s">
        <v>1</v>
      </c>
      <c r="C33" s="1" t="s">
        <v>2</v>
      </c>
      <c r="E33" s="1" t="s">
        <v>8</v>
      </c>
      <c r="F33" s="1" t="s">
        <v>1</v>
      </c>
      <c r="G33" s="1" t="s">
        <v>2</v>
      </c>
      <c r="H33" s="1" t="s">
        <v>9</v>
      </c>
    </row>
    <row r="34" spans="1:12">
      <c r="A34" s="1" t="s">
        <v>3</v>
      </c>
      <c r="B34" s="59">
        <f>C12</f>
        <v>2.0982258929113473</v>
      </c>
      <c r="C34" s="59">
        <v>1.849</v>
      </c>
      <c r="E34" s="1" t="s">
        <v>10</v>
      </c>
      <c r="F34" s="42">
        <f>B35*B39*B40/C11</f>
        <v>9.0947972595926737E-3</v>
      </c>
      <c r="G34" s="42">
        <f>C35*C39*C40/C36</f>
        <v>8.6734271371385167E-3</v>
      </c>
      <c r="H34" s="43">
        <f>F34-G34</f>
        <v>4.2137012245415696E-4</v>
      </c>
    </row>
    <row r="35" spans="1:12">
      <c r="A35" s="1" t="s">
        <v>4</v>
      </c>
      <c r="B35" s="41">
        <f>C13/100</f>
        <v>3.8297552159299891E-2</v>
      </c>
      <c r="C35" s="41">
        <v>3.5751999999999999E-2</v>
      </c>
      <c r="E35" s="1" t="s">
        <v>11</v>
      </c>
      <c r="F35" s="42">
        <f>-B34*B41</f>
        <v>-7.2023387997281483E-3</v>
      </c>
      <c r="G35" s="42">
        <f>-C34*C41</f>
        <v>-6.6927346989999999E-3</v>
      </c>
      <c r="H35" s="43">
        <f t="shared" ref="H35:H37" si="3">F35-G35</f>
        <v>-5.0960410072814835E-4</v>
      </c>
    </row>
    <row r="36" spans="1:12">
      <c r="A36" s="1" t="s">
        <v>5</v>
      </c>
      <c r="B36" s="36">
        <v>1.0327999999999999</v>
      </c>
      <c r="C36" s="32">
        <f>[1]!WSS(C17,"close","tradeDate=20200331","priceAdj=F","cycle=D","ShowCodes=N","cols=1;rows=1")</f>
        <v>184.29130000000001</v>
      </c>
      <c r="E36" s="1" t="s">
        <v>12</v>
      </c>
      <c r="F36" s="42">
        <f>-C44*B34</f>
        <v>-3.2544344335759265E-3</v>
      </c>
      <c r="G36" s="42">
        <f>C38/100-G34-G35</f>
        <v>-2.8678748498964087E-3</v>
      </c>
      <c r="H36" s="43">
        <f t="shared" si="3"/>
        <v>-3.8655958367951777E-4</v>
      </c>
    </row>
    <row r="37" spans="1:12">
      <c r="A37" s="1" t="s">
        <v>7</v>
      </c>
      <c r="B37" s="36">
        <v>1.0348999999999999</v>
      </c>
      <c r="C37" s="33">
        <f>[1]!WSS(C17,"close","tradeDate=20200630","priceAdj=F","cycle=D","ShowCodes=N","cols=1;rows=1")</f>
        <v>184.12780000000001</v>
      </c>
      <c r="E37" s="1" t="s">
        <v>13</v>
      </c>
      <c r="F37" s="42">
        <f>B38/100-F34-F35-F36</f>
        <v>3.3972540742354266E-3</v>
      </c>
      <c r="G37" s="42">
        <v>0</v>
      </c>
      <c r="H37" s="43">
        <f t="shared" si="3"/>
        <v>3.3972540742354266E-3</v>
      </c>
    </row>
    <row r="38" spans="1:12">
      <c r="A38" s="1" t="s">
        <v>6</v>
      </c>
      <c r="B38" s="32">
        <f>[1]!WSS("006869.OF","NAV_div_return","startDate=20200401","endDate=20200630","ShowCodes=N","cols=1;rows=1")</f>
        <v>0.20352781005240256</v>
      </c>
      <c r="C38" s="32">
        <f>[1]!WSS("CBA00321.CS","pct_chg_per","startDate=20200401","endDate=20200630","ShowCodes=N","cols=1;rows=1")</f>
        <v>-8.8718241175789192E-2</v>
      </c>
      <c r="E38" s="1" t="s">
        <v>6</v>
      </c>
      <c r="F38" s="44">
        <f>SUM(F34:F37)</f>
        <v>2.0352781005240255E-3</v>
      </c>
      <c r="G38" s="44">
        <f>SUM(G34:G37)</f>
        <v>-8.8718241175789192E-4</v>
      </c>
      <c r="H38" s="43">
        <f>SUM(H34:H37)</f>
        <v>2.9224605122819174E-3</v>
      </c>
      <c r="L38" s="28"/>
    </row>
    <row r="39" spans="1:12">
      <c r="A39" s="1" t="s">
        <v>14</v>
      </c>
      <c r="B39" s="9">
        <f>SUM(N2:N6)</f>
        <v>0.98011609446103753</v>
      </c>
      <c r="C39" s="1">
        <f>C21</f>
        <v>178.83611127305164</v>
      </c>
    </row>
    <row r="40" spans="1:12">
      <c r="A40" s="1" t="s">
        <v>15</v>
      </c>
      <c r="B40" s="2">
        <v>0.25</v>
      </c>
      <c r="C40" s="2">
        <v>0.25</v>
      </c>
    </row>
    <row r="41" spans="1:12">
      <c r="A41" s="1" t="s">
        <v>16</v>
      </c>
      <c r="B41" s="41">
        <v>3.4325850348432699E-3</v>
      </c>
      <c r="C41" s="41">
        <v>3.6196510000000002E-3</v>
      </c>
    </row>
    <row r="43" spans="1:12">
      <c r="A43" s="1" t="s">
        <v>17</v>
      </c>
      <c r="B43" s="1"/>
      <c r="C43" s="6">
        <f>G36</f>
        <v>-2.8678748498964087E-3</v>
      </c>
    </row>
    <row r="44" spans="1:12">
      <c r="A44" s="1" t="s">
        <v>18</v>
      </c>
      <c r="B44" s="1"/>
      <c r="C44" s="42">
        <f>-C43/C34</f>
        <v>1.5510410221181226E-3</v>
      </c>
    </row>
    <row r="66" spans="17:17">
      <c r="Q66" s="37"/>
    </row>
    <row r="67" spans="17:17">
      <c r="Q67" s="37"/>
    </row>
    <row r="68" spans="17:17">
      <c r="Q68" s="37"/>
    </row>
    <row r="69" spans="17:17">
      <c r="Q69" s="37"/>
    </row>
    <row r="70" spans="17:17">
      <c r="Q70" s="37"/>
    </row>
    <row r="71" spans="17:17">
      <c r="Q71" s="37"/>
    </row>
    <row r="72" spans="17:17">
      <c r="Q72" s="37"/>
    </row>
    <row r="73" spans="17:17">
      <c r="Q73" s="37"/>
    </row>
    <row r="74" spans="17:17">
      <c r="Q74" s="37"/>
    </row>
    <row r="75" spans="17:17">
      <c r="Q75" s="37"/>
    </row>
    <row r="76" spans="17:17">
      <c r="Q76" s="37"/>
    </row>
    <row r="77" spans="17:17">
      <c r="Q77" s="37"/>
    </row>
    <row r="78" spans="17:17">
      <c r="Q78" s="37"/>
    </row>
    <row r="79" spans="17:17">
      <c r="Q79" s="37"/>
    </row>
    <row r="80" spans="17:17">
      <c r="Q80" s="37"/>
    </row>
    <row r="81" spans="17:17">
      <c r="Q81" s="37"/>
    </row>
    <row r="82" spans="17:17">
      <c r="Q82" s="37"/>
    </row>
    <row r="83" spans="17:17">
      <c r="Q83" s="37"/>
    </row>
    <row r="84" spans="17:17">
      <c r="Q84" s="37"/>
    </row>
    <row r="85" spans="17:17">
      <c r="Q85" s="37"/>
    </row>
    <row r="86" spans="17:17">
      <c r="Q86" s="37"/>
    </row>
    <row r="87" spans="17:17">
      <c r="Q87" s="37"/>
    </row>
    <row r="88" spans="17:17">
      <c r="Q88" s="37"/>
    </row>
    <row r="89" spans="17:17">
      <c r="Q89" s="37"/>
    </row>
    <row r="90" spans="17:17">
      <c r="Q90" s="37"/>
    </row>
    <row r="91" spans="17:17">
      <c r="Q91" s="37"/>
    </row>
    <row r="92" spans="17:17">
      <c r="Q92" s="37"/>
    </row>
    <row r="93" spans="17:17">
      <c r="Q93" s="37"/>
    </row>
    <row r="94" spans="17:17">
      <c r="Q94" s="37"/>
    </row>
    <row r="95" spans="17:17">
      <c r="Q95" s="37"/>
    </row>
    <row r="96" spans="17:17">
      <c r="Q96" s="37"/>
    </row>
    <row r="97" spans="17:17">
      <c r="Q97" s="37"/>
    </row>
    <row r="98" spans="17:17">
      <c r="Q98" s="37"/>
    </row>
    <row r="99" spans="17:17">
      <c r="Q99" s="37"/>
    </row>
    <row r="100" spans="17:17">
      <c r="Q100" s="37"/>
    </row>
    <row r="101" spans="17:17">
      <c r="Q101" s="37"/>
    </row>
    <row r="102" spans="17:17">
      <c r="Q102" s="37"/>
    </row>
    <row r="103" spans="17:17">
      <c r="Q103" s="37"/>
    </row>
    <row r="104" spans="17:17">
      <c r="Q104" s="37"/>
    </row>
    <row r="105" spans="17:17">
      <c r="Q105" s="37"/>
    </row>
    <row r="106" spans="17:17">
      <c r="Q106" s="37"/>
    </row>
    <row r="107" spans="17:17">
      <c r="Q107" s="37"/>
    </row>
    <row r="108" spans="17:17">
      <c r="Q108" s="37"/>
    </row>
    <row r="109" spans="17:17">
      <c r="Q109" s="37"/>
    </row>
    <row r="110" spans="17:17">
      <c r="Q110" s="37"/>
    </row>
    <row r="111" spans="17:17">
      <c r="Q111" s="37"/>
    </row>
    <row r="112" spans="17:17">
      <c r="Q112" s="37"/>
    </row>
    <row r="113" spans="17:17">
      <c r="Q113" s="37"/>
    </row>
    <row r="114" spans="17:17">
      <c r="Q114" s="37"/>
    </row>
    <row r="115" spans="17:17">
      <c r="Q115" s="37"/>
    </row>
    <row r="116" spans="17:17">
      <c r="Q116" s="37"/>
    </row>
    <row r="117" spans="17:17">
      <c r="Q117" s="37"/>
    </row>
    <row r="118" spans="17:17">
      <c r="Q118" s="37"/>
    </row>
    <row r="119" spans="17:17">
      <c r="Q119" s="37"/>
    </row>
    <row r="120" spans="17:17">
      <c r="Q120" s="37"/>
    </row>
    <row r="121" spans="17:17">
      <c r="Q121" s="37"/>
    </row>
    <row r="122" spans="17:17">
      <c r="Q122" s="37"/>
    </row>
    <row r="123" spans="17:17">
      <c r="Q123" s="37"/>
    </row>
    <row r="124" spans="17:17">
      <c r="Q124" s="37"/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74B60-FC86-4109-94A1-18E1D95FD5CE}">
  <sheetPr codeName="Sheet6"/>
  <dimension ref="A1:CD124"/>
  <sheetViews>
    <sheetView topLeftCell="A25" zoomScale="94" workbookViewId="0">
      <selection activeCell="H34" sqref="H34"/>
    </sheetView>
  </sheetViews>
  <sheetFormatPr defaultRowHeight="14.4"/>
  <cols>
    <col min="1" max="1" width="9" bestFit="1" customWidth="1"/>
    <col min="2" max="2" width="15.6640625" customWidth="1"/>
    <col min="3" max="3" width="16.44140625" bestFit="1" customWidth="1"/>
    <col min="4" max="4" width="11.21875" bestFit="1" customWidth="1"/>
    <col min="5" max="5" width="11" bestFit="1" customWidth="1"/>
    <col min="7" max="7" width="22" bestFit="1" customWidth="1"/>
    <col min="8" max="8" width="11.5546875" bestFit="1" customWidth="1"/>
    <col min="10" max="10" width="11" bestFit="1" customWidth="1"/>
    <col min="11" max="11" width="11" customWidth="1"/>
    <col min="13" max="13" width="11.109375" bestFit="1" customWidth="1"/>
    <col min="16" max="16" width="13.6640625" bestFit="1" customWidth="1"/>
    <col min="17" max="17" width="13.33203125" bestFit="1" customWidth="1"/>
    <col min="18" max="23" width="12.109375" bestFit="1" customWidth="1"/>
    <col min="24" max="82" width="11.21875" bestFit="1" customWidth="1"/>
  </cols>
  <sheetData>
    <row r="1" spans="1:82" ht="31.2" thickBot="1">
      <c r="A1" s="18" t="s">
        <v>49</v>
      </c>
      <c r="B1" s="19" t="s">
        <v>50</v>
      </c>
      <c r="C1" s="19" t="s">
        <v>51</v>
      </c>
      <c r="D1" s="20" t="s">
        <v>52</v>
      </c>
      <c r="E1" s="20" t="s">
        <v>144</v>
      </c>
      <c r="F1" s="19" t="s">
        <v>53</v>
      </c>
      <c r="G1" s="19" t="s">
        <v>47</v>
      </c>
      <c r="H1" s="26" t="s">
        <v>48</v>
      </c>
      <c r="I1" s="26" t="s">
        <v>3</v>
      </c>
      <c r="J1" s="26" t="s">
        <v>4</v>
      </c>
      <c r="K1" s="26" t="s">
        <v>102</v>
      </c>
      <c r="L1" s="26" t="s">
        <v>67</v>
      </c>
      <c r="M1" s="26" t="s">
        <v>82</v>
      </c>
      <c r="N1" s="26" t="s">
        <v>69</v>
      </c>
      <c r="Q1" t="s">
        <v>95</v>
      </c>
      <c r="R1" t="s">
        <v>71</v>
      </c>
      <c r="S1" t="s">
        <v>72</v>
      </c>
      <c r="T1" t="s">
        <v>73</v>
      </c>
      <c r="U1" t="s">
        <v>74</v>
      </c>
      <c r="V1" t="s">
        <v>75</v>
      </c>
      <c r="W1" t="s">
        <v>76</v>
      </c>
    </row>
    <row r="2" spans="1:82" ht="21" thickBot="1">
      <c r="A2" s="21">
        <v>1</v>
      </c>
      <c r="B2" s="56" t="str">
        <f>[1]!WSS("003258.OF","prt_topbondwindcode,prt_topbondname,prt_topbondvalue,prt_heavilyheldbondtonav","rptDate=20200630","order="&amp;A2,"unit=1","ShowCodes=N", "UnitMask=4","cols=4;rows=1")</f>
        <v>1680030.IB</v>
      </c>
      <c r="C2" s="48" t="s">
        <v>97</v>
      </c>
      <c r="D2" s="35">
        <v>18219000</v>
      </c>
      <c r="E2" s="35">
        <v>5.1168579853885241</v>
      </c>
      <c r="F2" s="10" t="s">
        <v>78</v>
      </c>
      <c r="G2" s="60">
        <v>61.773299999999999</v>
      </c>
      <c r="H2" s="62">
        <v>300000</v>
      </c>
      <c r="I2" s="61">
        <v>1.4384999999999999</v>
      </c>
      <c r="J2" s="61">
        <v>4.9400000000000004</v>
      </c>
      <c r="K2" s="28">
        <f>[1]!WSS(B2,"latestpar","tradeDate=20200630","ShowCodes=N","cols=1;rows=1")</f>
        <v>60</v>
      </c>
      <c r="L2" s="29">
        <f>G2*H2/SUMPRODUCT($G$2:$G$6,$H$2:$H$6)</f>
        <v>0.28786542206589377</v>
      </c>
      <c r="M2" s="29">
        <f>K2*H2/SUMPRODUCT($K$2:$K$6,$H$2:$H$6)</f>
        <v>0.29032258064516131</v>
      </c>
      <c r="N2" s="28">
        <f>$C$11*L2*K2/G2</f>
        <v>0.31214743961649821</v>
      </c>
      <c r="O2" s="28"/>
      <c r="Q2" t="s">
        <v>110</v>
      </c>
      <c r="R2" t="s">
        <v>104</v>
      </c>
      <c r="S2" t="s">
        <v>105</v>
      </c>
      <c r="T2" t="s">
        <v>106</v>
      </c>
      <c r="U2" t="s">
        <v>107</v>
      </c>
      <c r="V2" t="s">
        <v>108</v>
      </c>
      <c r="W2" t="s">
        <v>109</v>
      </c>
    </row>
    <row r="3" spans="1:82" ht="21" thickBot="1">
      <c r="A3" s="22">
        <v>2</v>
      </c>
      <c r="B3" s="56" t="str">
        <f>[1]!WSS("003258.OF","prt_topbondwindcode,prt_topbondname,prt_topbondvalue,prt_heavilyheldbondtonav","rptDate=20200630","order="&amp;A3,"unit=1","ShowCodes=N", "UnitMask=4","cols=4;rows=1")</f>
        <v>1680005.IB</v>
      </c>
      <c r="C3" s="48" t="s">
        <v>98</v>
      </c>
      <c r="D3" s="35">
        <v>11976000</v>
      </c>
      <c r="E3" s="35">
        <v>3.3634936732539087</v>
      </c>
      <c r="F3" s="12" t="s">
        <v>78</v>
      </c>
      <c r="G3" s="60">
        <v>60.884700000000002</v>
      </c>
      <c r="H3" s="62">
        <v>200000</v>
      </c>
      <c r="I3" s="61">
        <v>1.4197</v>
      </c>
      <c r="J3" s="61">
        <v>4.72</v>
      </c>
      <c r="K3" s="28">
        <f>[1]!WSS(B3,"latestpar","tradeDate=20200630","ShowCodes=N","cols=1;rows=0")</f>
        <v>60</v>
      </c>
      <c r="L3" s="29">
        <f t="shared" ref="L3:L6" si="0">G3*H3/SUMPRODUCT($G$2:$G$6,$H$2:$H$6)</f>
        <v>0.1891496796928481</v>
      </c>
      <c r="M3" s="29">
        <f t="shared" ref="M3:M6" si="1">K3*H3/SUMPRODUCT($K$2:$K$6,$H$2:$H$6)</f>
        <v>0.19354838709677419</v>
      </c>
      <c r="N3" s="28">
        <f t="shared" ref="N3:N6" si="2">$C$11*L3*K3/G3</f>
        <v>0.20809829307766545</v>
      </c>
      <c r="O3" s="28"/>
      <c r="P3" s="49">
        <v>44013</v>
      </c>
      <c r="Q3" s="50">
        <v>3.5829451809377959E-2</v>
      </c>
      <c r="R3" s="50">
        <v>2.3849535543351688E-2</v>
      </c>
      <c r="S3" s="50">
        <v>3.2117934459954117E-2</v>
      </c>
      <c r="T3" s="50">
        <v>4.1844822257814725E-2</v>
      </c>
      <c r="U3" s="50">
        <v>5.3218375278789427E-2</v>
      </c>
      <c r="V3" s="50">
        <v>7.2994749992982139E-2</v>
      </c>
      <c r="W3" s="50">
        <v>0.11124121465527854</v>
      </c>
      <c r="X3" s="49"/>
      <c r="Y3" t="s">
        <v>112</v>
      </c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</row>
    <row r="4" spans="1:82" ht="21" thickBot="1">
      <c r="A4" s="23">
        <v>3</v>
      </c>
      <c r="B4" s="56" t="str">
        <f>[1]!WSS("003258.OF","prt_topbondwindcode,prt_topbondname,prt_topbondvalue,prt_heavilyheldbondtonav","rptDate=20200630","order="&amp;A4,"unit=1","ShowCodes=N", "UnitMask=4","cols=4;rows=1")</f>
        <v>1680066.IB</v>
      </c>
      <c r="C4" s="48" t="s">
        <v>99</v>
      </c>
      <c r="D4" s="35">
        <v>11966000</v>
      </c>
      <c r="E4" s="35">
        <v>3.3606851448026278</v>
      </c>
      <c r="F4" s="14" t="s">
        <v>78</v>
      </c>
      <c r="G4" s="60">
        <v>60.408200000000001</v>
      </c>
      <c r="H4" s="62">
        <v>200000</v>
      </c>
      <c r="I4" s="61">
        <v>1.6025</v>
      </c>
      <c r="J4" s="61">
        <v>4.6500000000000004</v>
      </c>
      <c r="K4" s="28">
        <f>[1]!WSS(B4,"latestpar","tradeDate=20200630","ShowCodes=N","cols=1;rows=0")</f>
        <v>60</v>
      </c>
      <c r="L4" s="29">
        <f t="shared" si="0"/>
        <v>0.18766934354314807</v>
      </c>
      <c r="M4" s="29">
        <f t="shared" si="1"/>
        <v>0.19354838709677419</v>
      </c>
      <c r="N4" s="28">
        <f t="shared" si="2"/>
        <v>0.20809829307766547</v>
      </c>
      <c r="O4" s="28"/>
      <c r="P4" s="49">
        <v>44014</v>
      </c>
      <c r="Q4" s="50">
        <v>2.686246418336926E-2</v>
      </c>
      <c r="R4" s="50">
        <v>2.1871365045846303E-2</v>
      </c>
      <c r="S4" s="50">
        <v>2.8486055346182492E-2</v>
      </c>
      <c r="T4" s="50">
        <v>4.5909262937120186E-2</v>
      </c>
      <c r="U4" s="50">
        <v>6.9838798314709599E-2</v>
      </c>
      <c r="V4" s="50">
        <v>4.2432318698273651E-2</v>
      </c>
      <c r="W4" s="50">
        <v>3.2766823028593135E-2</v>
      </c>
      <c r="X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0"/>
      <c r="AS4" s="50"/>
      <c r="AT4" s="50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0"/>
      <c r="CC4" s="50"/>
      <c r="CD4" s="50"/>
    </row>
    <row r="5" spans="1:82" ht="21" thickBot="1">
      <c r="A5" s="22">
        <v>4</v>
      </c>
      <c r="B5" s="56" t="str">
        <f>[1]!WSS("003258.OF","prt_topbondwindcode,prt_topbondname,prt_topbondvalue,prt_heavilyheldbondtonav","rptDate=20200630","order="&amp;A5,"unit=1","ShowCodes=N", "UnitMask=4","cols=4;rows=1")</f>
        <v>101800974.IB</v>
      </c>
      <c r="C5" s="48" t="s">
        <v>100</v>
      </c>
      <c r="D5" s="35">
        <v>10574000</v>
      </c>
      <c r="E5" s="35">
        <v>2.9697379843843379</v>
      </c>
      <c r="F5" s="12" t="s">
        <v>77</v>
      </c>
      <c r="G5" s="60">
        <v>110.9342</v>
      </c>
      <c r="H5" s="62">
        <v>100000</v>
      </c>
      <c r="I5" s="61">
        <v>1.0564</v>
      </c>
      <c r="J5" s="61">
        <v>7.8</v>
      </c>
      <c r="K5" s="28">
        <f>[1]!WSS(B5,"latestpar","tradeDate=20200630","ShowCodes=N","cols=1;rows=0")</f>
        <v>100</v>
      </c>
      <c r="L5" s="29">
        <f t="shared" si="0"/>
        <v>0.17231889454150509</v>
      </c>
      <c r="M5" s="29">
        <f t="shared" si="1"/>
        <v>0.16129032258064516</v>
      </c>
      <c r="N5" s="28">
        <f t="shared" si="2"/>
        <v>0.17341524423138785</v>
      </c>
      <c r="O5" s="28"/>
      <c r="P5" s="49">
        <v>44015</v>
      </c>
      <c r="Q5" s="50">
        <v>8.9517500671405983E-3</v>
      </c>
      <c r="R5" s="50">
        <v>1.6240432645120786E-2</v>
      </c>
      <c r="S5" s="50">
        <v>3.5016522070401089E-2</v>
      </c>
      <c r="T5" s="50">
        <v>3.1884992393942421E-2</v>
      </c>
      <c r="U5" s="50">
        <v>2.2357607306991472E-2</v>
      </c>
      <c r="V5" s="50">
        <v>7.0106316228610716E-3</v>
      </c>
      <c r="W5" s="50">
        <v>5.4522002335275412E-2</v>
      </c>
      <c r="Y5" s="55" t="s">
        <v>113</v>
      </c>
      <c r="Z5" s="55"/>
    </row>
    <row r="6" spans="1:82" ht="21" thickBot="1">
      <c r="A6" s="21">
        <v>5</v>
      </c>
      <c r="B6" s="56" t="str">
        <f>[1]!WSS("003258.OF","prt_topbondwindcode,prt_topbondname,prt_topbondvalue,prt_heavilyheldbondtonav","rptDate=20200630","order="&amp;A6,"unit=1","ShowCodes=N", "UnitMask=4","cols=4;rows=1")</f>
        <v>101800467.IB</v>
      </c>
      <c r="C6" s="48" t="s">
        <v>101</v>
      </c>
      <c r="D6" s="35">
        <v>10389000</v>
      </c>
      <c r="E6" s="35">
        <v>2.917780208035643</v>
      </c>
      <c r="F6" s="10" t="s">
        <v>77</v>
      </c>
      <c r="G6" s="60">
        <v>104.9328</v>
      </c>
      <c r="H6" s="62">
        <v>100000</v>
      </c>
      <c r="I6" s="61">
        <v>2.4876999999999998</v>
      </c>
      <c r="J6" s="61">
        <v>6.99</v>
      </c>
      <c r="K6" s="28">
        <f>[1]!WSS(B6,"latestpar","tradeDate=20200630","ShowCodes=N","cols=1;rows=0")</f>
        <v>100</v>
      </c>
      <c r="L6" s="29">
        <f t="shared" si="0"/>
        <v>0.16299666015660497</v>
      </c>
      <c r="M6" s="29">
        <f t="shared" si="1"/>
        <v>0.16129032258064516</v>
      </c>
      <c r="N6" s="28">
        <f t="shared" si="2"/>
        <v>0.17341524423138788</v>
      </c>
      <c r="O6" s="28"/>
      <c r="P6" s="49">
        <v>44018</v>
      </c>
      <c r="Q6" s="50">
        <v>-8.9509488005714857E-2</v>
      </c>
      <c r="R6" s="50">
        <v>-1.333818920743096E-2</v>
      </c>
      <c r="S6" s="50">
        <v>-5.8610535959585347E-2</v>
      </c>
      <c r="T6" s="50">
        <v>-0.1445193673576603</v>
      </c>
      <c r="U6" s="50">
        <v>-0.13297181521780202</v>
      </c>
      <c r="V6" s="50">
        <v>-0.15562511172410912</v>
      </c>
      <c r="W6" s="50">
        <v>-0.12666644876894212</v>
      </c>
      <c r="Y6" s="52" t="s">
        <v>114</v>
      </c>
      <c r="Z6" s="52">
        <v>0.94429802143371</v>
      </c>
    </row>
    <row r="7" spans="1:82" ht="15">
      <c r="A7" s="24" t="s">
        <v>66</v>
      </c>
      <c r="B7" s="16" t="s">
        <v>57</v>
      </c>
      <c r="C7" s="16" t="s">
        <v>57</v>
      </c>
      <c r="D7" s="17">
        <f>SUM(D2:D6)</f>
        <v>63124000</v>
      </c>
      <c r="E7" s="17">
        <f>SUM(E2:E6)</f>
        <v>17.728554995865043</v>
      </c>
      <c r="F7" s="16" t="s">
        <v>57</v>
      </c>
      <c r="G7" s="27"/>
      <c r="H7" s="25"/>
      <c r="L7" s="40">
        <f>SUM(L2:L6)</f>
        <v>0.99999999999999989</v>
      </c>
      <c r="M7" s="40">
        <f>SUM(M2:M6)</f>
        <v>1</v>
      </c>
      <c r="N7" s="39">
        <f>SUM(N2:N6)</f>
        <v>1.0751745142346048</v>
      </c>
      <c r="O7" s="39"/>
      <c r="P7" s="49">
        <v>44019</v>
      </c>
      <c r="Q7" s="50">
        <v>-0.14334348683031822</v>
      </c>
      <c r="R7" s="50">
        <v>-1.8385956609142825E-2</v>
      </c>
      <c r="S7" s="50">
        <v>-0.17058371411985032</v>
      </c>
      <c r="T7" s="50">
        <v>-0.23247335003175085</v>
      </c>
      <c r="U7" s="50">
        <v>-0.20397069961376205</v>
      </c>
      <c r="V7" s="50">
        <v>-0.17276839155887777</v>
      </c>
      <c r="W7" s="50">
        <v>-0.17897427781249542</v>
      </c>
      <c r="Y7" s="52" t="s">
        <v>115</v>
      </c>
      <c r="Z7" s="52">
        <v>0.89169875328361947</v>
      </c>
    </row>
    <row r="8" spans="1:82">
      <c r="P8" s="49">
        <v>44020</v>
      </c>
      <c r="Q8" s="50">
        <v>-6.2802799210496432E-2</v>
      </c>
      <c r="R8" s="50">
        <v>-8.6435688077287649E-3</v>
      </c>
      <c r="S8" s="50">
        <v>-7.0710713052036453E-2</v>
      </c>
      <c r="T8" s="50">
        <v>-8.8656918449280434E-2</v>
      </c>
      <c r="U8" s="50">
        <v>-7.0105804291951221E-2</v>
      </c>
      <c r="V8" s="50">
        <v>-4.3354764552980866E-2</v>
      </c>
      <c r="W8" s="50">
        <v>-3.8159343745279364E-2</v>
      </c>
      <c r="Y8" s="52" t="s">
        <v>116</v>
      </c>
      <c r="Z8" s="52">
        <v>0.8806850671768689</v>
      </c>
    </row>
    <row r="9" spans="1:82">
      <c r="B9" t="s">
        <v>96</v>
      </c>
      <c r="L9" s="28"/>
      <c r="P9" s="49">
        <v>44021</v>
      </c>
      <c r="Q9" s="50">
        <v>-0.17057186461977425</v>
      </c>
      <c r="R9" s="50">
        <v>-1.9377191537156817E-2</v>
      </c>
      <c r="S9" s="50">
        <v>-0.18524578794747301</v>
      </c>
      <c r="T9" s="50">
        <v>-0.27556599292038031</v>
      </c>
      <c r="U9" s="50">
        <v>-0.2317124468633473</v>
      </c>
      <c r="V9" s="50">
        <v>-0.20993209498359114</v>
      </c>
      <c r="W9" s="50">
        <v>-0.14161983193802413</v>
      </c>
      <c r="Y9" s="52" t="s">
        <v>117</v>
      </c>
      <c r="Z9" s="52">
        <v>1.6764132658663212E-2</v>
      </c>
    </row>
    <row r="10" spans="1:82" ht="15" thickBot="1">
      <c r="B10" t="s">
        <v>91</v>
      </c>
      <c r="C10" t="s">
        <v>95</v>
      </c>
      <c r="H10" s="39"/>
      <c r="L10" s="34"/>
      <c r="P10" s="49">
        <v>44022</v>
      </c>
      <c r="Q10" s="50">
        <v>-6.2949640287787156E-2</v>
      </c>
      <c r="R10" s="50">
        <v>-1.7175929095917281E-2</v>
      </c>
      <c r="S10" s="50">
        <v>-9.2007705848921345E-2</v>
      </c>
      <c r="T10" s="50">
        <v>-0.11109916132815451</v>
      </c>
      <c r="U10" s="50">
        <v>-8.5666991395402473E-2</v>
      </c>
      <c r="V10" s="50">
        <v>-0.12863167925283264</v>
      </c>
      <c r="W10" s="50">
        <v>-0.13035226339663947</v>
      </c>
      <c r="Y10" s="53" t="s">
        <v>118</v>
      </c>
      <c r="Z10" s="53">
        <v>66</v>
      </c>
    </row>
    <row r="11" spans="1:82" ht="15">
      <c r="B11" t="s">
        <v>90</v>
      </c>
      <c r="C11" s="28">
        <f>[1]!WSS($C$10,"nav","tradeDate=20200630","ShowCodes=N","cols=1;rows=1")</f>
        <v>1.1164000000000001</v>
      </c>
      <c r="M11" s="38"/>
      <c r="N11" s="46"/>
      <c r="O11" s="45"/>
      <c r="P11" s="49">
        <v>44025</v>
      </c>
      <c r="Q11" s="50">
        <v>-7.1987762080446868E-2</v>
      </c>
      <c r="R11" s="50">
        <v>1.6540475413893876E-2</v>
      </c>
      <c r="S11" s="50">
        <v>-8.2421373704053072E-2</v>
      </c>
      <c r="T11" s="50">
        <v>-0.14799225199108068</v>
      </c>
      <c r="U11" s="50">
        <v>-0.13336335368989391</v>
      </c>
      <c r="V11" s="50">
        <v>-0.15441562109169618</v>
      </c>
      <c r="W11" s="50">
        <v>-9.9145269654643542E-2</v>
      </c>
    </row>
    <row r="12" spans="1:82" ht="15" thickBot="1">
      <c r="B12" t="s">
        <v>142</v>
      </c>
      <c r="C12" s="39">
        <f>SUMPRODUCT(R70:W70,R69:W69)</f>
        <v>1.6634006238161423</v>
      </c>
      <c r="L12" s="34"/>
      <c r="P12" s="49">
        <v>44026</v>
      </c>
      <c r="Q12" s="50">
        <v>-2.7014858171982705E-2</v>
      </c>
      <c r="R12" s="50">
        <v>3.2495208407363118E-3</v>
      </c>
      <c r="S12" s="50">
        <v>-2.8928372371231446E-2</v>
      </c>
      <c r="T12" s="50">
        <v>-5.2031729691356637E-2</v>
      </c>
      <c r="U12" s="50">
        <v>-3.8793358307849531E-2</v>
      </c>
      <c r="V12" s="50">
        <v>-3.0203576143819345E-2</v>
      </c>
      <c r="W12" s="50">
        <v>-7.5714443757873687E-2</v>
      </c>
      <c r="Y12" t="s">
        <v>119</v>
      </c>
    </row>
    <row r="13" spans="1:82">
      <c r="B13" t="s">
        <v>81</v>
      </c>
      <c r="C13" s="39">
        <f>SUMPRODUCT(J2:J6,M2:M6)</f>
        <v>5.6332258064516125</v>
      </c>
      <c r="P13" s="49">
        <v>44027</v>
      </c>
      <c r="Q13" s="50">
        <v>9.007386056568872E-3</v>
      </c>
      <c r="R13" s="50">
        <v>1.20692566440436E-2</v>
      </c>
      <c r="S13" s="50">
        <v>9.2467036861146098E-3</v>
      </c>
      <c r="T13" s="50">
        <v>7.1752621387946702E-3</v>
      </c>
      <c r="U13" s="50">
        <v>2.5391378280556758E-2</v>
      </c>
      <c r="V13" s="50">
        <v>-3.339564492497641E-2</v>
      </c>
      <c r="W13" s="50">
        <v>6.3728254083435486E-3</v>
      </c>
      <c r="Y13" s="54"/>
      <c r="Z13" s="54" t="s">
        <v>124</v>
      </c>
      <c r="AA13" s="54" t="s">
        <v>125</v>
      </c>
      <c r="AB13" s="54" t="s">
        <v>126</v>
      </c>
      <c r="AC13" s="54" t="s">
        <v>127</v>
      </c>
      <c r="AD13" s="54" t="s">
        <v>128</v>
      </c>
    </row>
    <row r="14" spans="1:82" ht="15">
      <c r="B14" t="s">
        <v>83</v>
      </c>
      <c r="C14" s="47">
        <v>0</v>
      </c>
      <c r="E14" s="25"/>
      <c r="P14" s="49">
        <v>44028</v>
      </c>
      <c r="Q14" s="50">
        <v>5.4039448797598463E-2</v>
      </c>
      <c r="R14" s="50">
        <v>1.5142768457795353E-2</v>
      </c>
      <c r="S14" s="50">
        <v>7.7882678881343301E-2</v>
      </c>
      <c r="T14" s="50">
        <v>8.9302706151862185E-2</v>
      </c>
      <c r="U14" s="50">
        <v>3.629853065471262E-2</v>
      </c>
      <c r="V14" s="50">
        <v>-3.7854302881937398E-2</v>
      </c>
      <c r="W14" s="50">
        <v>-7.6793052982887647E-2</v>
      </c>
      <c r="Y14" s="52" t="s">
        <v>120</v>
      </c>
      <c r="Z14" s="52">
        <v>6</v>
      </c>
      <c r="AA14" s="52">
        <v>0.13652082143400796</v>
      </c>
      <c r="AB14" s="52">
        <v>2.2753470239001327E-2</v>
      </c>
      <c r="AC14" s="52">
        <v>80.962789809042647</v>
      </c>
      <c r="AD14" s="52">
        <v>1.2798587277709182E-26</v>
      </c>
    </row>
    <row r="15" spans="1:82" ht="15">
      <c r="B15" t="s">
        <v>85</v>
      </c>
      <c r="C15" t="s">
        <v>143</v>
      </c>
      <c r="E15" s="25"/>
      <c r="P15" s="49">
        <v>44029</v>
      </c>
      <c r="Q15" s="50">
        <v>2.7005130974892686E-2</v>
      </c>
      <c r="R15" s="50">
        <v>8.0053090281342314E-3</v>
      </c>
      <c r="S15" s="50">
        <v>6.5757474478224942E-2</v>
      </c>
      <c r="T15" s="50">
        <v>7.2649405357752495E-2</v>
      </c>
      <c r="U15" s="50">
        <v>7.3676101020364274E-2</v>
      </c>
      <c r="V15" s="50">
        <v>3.640242885100608E-3</v>
      </c>
      <c r="W15" s="50">
        <v>-4.3236045026070133E-3</v>
      </c>
      <c r="Y15" s="52" t="s">
        <v>121</v>
      </c>
      <c r="Z15" s="52">
        <v>59</v>
      </c>
      <c r="AA15" s="52">
        <v>1.6581132484038252E-2</v>
      </c>
      <c r="AB15" s="52">
        <v>2.8103614379725852E-4</v>
      </c>
      <c r="AC15" s="52"/>
      <c r="AD15" s="52"/>
    </row>
    <row r="16" spans="1:82" ht="15.6" thickBot="1">
      <c r="B16" t="s">
        <v>84</v>
      </c>
      <c r="C16" s="40">
        <f>E7/100</f>
        <v>0.17728554995865042</v>
      </c>
      <c r="E16" s="25"/>
      <c r="J16">
        <f>C36*(1+C19/100)^(C20-INT(C20))</f>
        <v>185.17962189518354</v>
      </c>
      <c r="P16" s="49">
        <v>44032</v>
      </c>
      <c r="Q16" s="50">
        <v>5.3995680345567926E-2</v>
      </c>
      <c r="R16" s="50">
        <v>3.5672977980199014E-2</v>
      </c>
      <c r="S16" s="50">
        <v>7.3806349301170818E-2</v>
      </c>
      <c r="T16" s="50">
        <v>8.9615476450536719E-2</v>
      </c>
      <c r="U16" s="50">
        <v>0.10219655355569435</v>
      </c>
      <c r="V16" s="50">
        <v>0.12012364241578691</v>
      </c>
      <c r="W16" s="50">
        <v>0.13452396137125822</v>
      </c>
      <c r="Y16" s="53" t="s">
        <v>122</v>
      </c>
      <c r="Z16" s="53">
        <v>65</v>
      </c>
      <c r="AA16" s="53">
        <v>0.15310195391804621</v>
      </c>
      <c r="AB16" s="53"/>
      <c r="AC16" s="53"/>
      <c r="AD16" s="53"/>
    </row>
    <row r="17" spans="2:33" ht="15.6" thickBot="1">
      <c r="B17" t="s">
        <v>87</v>
      </c>
      <c r="C17" s="34" t="s">
        <v>72</v>
      </c>
      <c r="E17" s="25"/>
      <c r="J17">
        <f>C35*100/C19+C35+(1-C35*100/C19)/(1+C19/100)^INT(C20)</f>
        <v>1.0564168198277668</v>
      </c>
      <c r="M17" s="38"/>
      <c r="N17" s="27"/>
      <c r="P17" s="49">
        <v>44033</v>
      </c>
      <c r="Q17" s="50">
        <v>8.9944234574569293E-2</v>
      </c>
      <c r="R17" s="50">
        <v>1.8612914579470233E-2</v>
      </c>
      <c r="S17" s="50">
        <v>0.11716731862130311</v>
      </c>
      <c r="T17" s="50">
        <v>0.16678729898983261</v>
      </c>
      <c r="U17" s="50">
        <v>0.17563891594184255</v>
      </c>
      <c r="V17" s="50">
        <v>0.14032958010197666</v>
      </c>
      <c r="W17" s="50">
        <v>0.10929893772226754</v>
      </c>
    </row>
    <row r="18" spans="2:33" ht="15">
      <c r="B18" t="s">
        <v>88</v>
      </c>
      <c r="C18" t="s">
        <v>103</v>
      </c>
      <c r="E18" s="25"/>
      <c r="M18" s="38"/>
      <c r="N18" s="27"/>
      <c r="P18" s="49">
        <v>44034</v>
      </c>
      <c r="Q18" s="50">
        <v>6.2904385334289936E-2</v>
      </c>
      <c r="R18" s="50">
        <v>1.107291310372524E-2</v>
      </c>
      <c r="S18" s="50">
        <v>6.466745048168919E-2</v>
      </c>
      <c r="T18" s="50">
        <v>0.13980521520578432</v>
      </c>
      <c r="U18" s="50">
        <v>0.18002433848598595</v>
      </c>
      <c r="V18" s="50">
        <v>0.22262932545078817</v>
      </c>
      <c r="W18" s="50">
        <v>0.15711080031616803</v>
      </c>
      <c r="Y18" s="54"/>
      <c r="Z18" s="54" t="s">
        <v>129</v>
      </c>
      <c r="AA18" s="54" t="s">
        <v>117</v>
      </c>
      <c r="AB18" s="54" t="s">
        <v>130</v>
      </c>
      <c r="AC18" s="54" t="s">
        <v>131</v>
      </c>
      <c r="AD18" s="54" t="s">
        <v>132</v>
      </c>
      <c r="AE18" s="54" t="s">
        <v>133</v>
      </c>
      <c r="AF18" s="54" t="s">
        <v>134</v>
      </c>
      <c r="AG18" s="54" t="s">
        <v>135</v>
      </c>
    </row>
    <row r="19" spans="2:33" ht="15">
      <c r="B19" t="s">
        <v>92</v>
      </c>
      <c r="C19">
        <v>3.8142</v>
      </c>
      <c r="M19" s="38"/>
      <c r="N19" s="27"/>
      <c r="P19" s="49">
        <v>44035</v>
      </c>
      <c r="Q19" s="50">
        <v>5.3884149079494001E-2</v>
      </c>
      <c r="R19" s="50">
        <v>1.0318116816150311E-2</v>
      </c>
      <c r="S19" s="50">
        <v>3.9165424351691805E-2</v>
      </c>
      <c r="T19" s="50">
        <v>0.11608025223924993</v>
      </c>
      <c r="U19" s="50">
        <v>0.169996318977336</v>
      </c>
      <c r="V19" s="50">
        <v>0.18782087533685013</v>
      </c>
      <c r="W19" s="50">
        <v>0.14254522904131858</v>
      </c>
      <c r="Y19" s="52" t="s">
        <v>123</v>
      </c>
      <c r="Z19" s="63">
        <v>9.8822465925859013E-3</v>
      </c>
      <c r="AA19" s="52">
        <v>3.4059198735272292E-3</v>
      </c>
      <c r="AB19" s="52">
        <v>2.9014912151622867</v>
      </c>
      <c r="AC19" s="52">
        <v>5.2130556433842941E-3</v>
      </c>
      <c r="AD19" s="52">
        <v>3.0670166675189348E-3</v>
      </c>
      <c r="AE19" s="52">
        <v>1.6697476517652868E-2</v>
      </c>
      <c r="AF19" s="52">
        <v>3.0670166675189348E-3</v>
      </c>
      <c r="AG19" s="52">
        <v>1.6697476517652868E-2</v>
      </c>
    </row>
    <row r="20" spans="2:33" ht="15">
      <c r="B20" t="s">
        <v>93</v>
      </c>
      <c r="C20">
        <v>2.0341</v>
      </c>
      <c r="E20" s="25"/>
      <c r="M20" s="38"/>
      <c r="N20" s="27"/>
      <c r="P20" s="49">
        <v>44036</v>
      </c>
      <c r="Q20" s="50">
        <v>0.14361367920292586</v>
      </c>
      <c r="R20" s="50">
        <v>5.8540577604196294E-3</v>
      </c>
      <c r="S20" s="50">
        <v>7.9816368203630639E-2</v>
      </c>
      <c r="T20" s="50">
        <v>0.10982995815544021</v>
      </c>
      <c r="U20" s="50">
        <v>0.12207891127373147</v>
      </c>
      <c r="V20" s="50">
        <v>0.17898170258604848</v>
      </c>
      <c r="W20" s="50">
        <v>0.19625824596410718</v>
      </c>
      <c r="Y20" s="52" t="s">
        <v>136</v>
      </c>
      <c r="Z20" s="63">
        <v>0.1300087326780551</v>
      </c>
      <c r="AA20" s="52">
        <v>0.25814109209399583</v>
      </c>
      <c r="AB20" s="52">
        <v>0.50363439475461569</v>
      </c>
      <c r="AC20" s="52">
        <v>0.61639365977315497</v>
      </c>
      <c r="AD20" s="52">
        <v>-0.38653039949668866</v>
      </c>
      <c r="AE20" s="52">
        <v>0.64654786485279891</v>
      </c>
      <c r="AF20" s="52">
        <v>-0.38653039949668866</v>
      </c>
      <c r="AG20" s="52">
        <v>0.64654786485279891</v>
      </c>
    </row>
    <row r="21" spans="2:33" ht="15">
      <c r="B21" t="s">
        <v>94</v>
      </c>
      <c r="C21">
        <f>J16/J17</f>
        <v>175.29030058928288</v>
      </c>
      <c r="E21" s="25"/>
      <c r="P21" s="49">
        <v>44039</v>
      </c>
      <c r="Q21" s="50">
        <v>4.4814914403525863E-2</v>
      </c>
      <c r="R21" s="50">
        <v>3.0717514779180059E-2</v>
      </c>
      <c r="S21" s="50">
        <v>6.9905362639477858E-2</v>
      </c>
      <c r="T21" s="50">
        <v>8.522299849648278E-2</v>
      </c>
      <c r="U21" s="50">
        <v>8.9946060963128988E-2</v>
      </c>
      <c r="V21" s="50">
        <v>7.6046618532217683E-2</v>
      </c>
      <c r="W21" s="50">
        <v>0.10193379132006822</v>
      </c>
      <c r="Y21" s="52" t="s">
        <v>137</v>
      </c>
      <c r="Z21" s="63">
        <v>0.23200357325094373</v>
      </c>
      <c r="AA21" s="52">
        <v>0.18930991731464433</v>
      </c>
      <c r="AB21" s="52">
        <v>1.2255225533976648</v>
      </c>
      <c r="AC21" s="52">
        <v>0.22524806721837889</v>
      </c>
      <c r="AD21" s="52">
        <v>-0.14680469632193188</v>
      </c>
      <c r="AE21" s="52">
        <v>0.6108118428238194</v>
      </c>
      <c r="AF21" s="52">
        <v>-0.14680469632193188</v>
      </c>
      <c r="AG21" s="52">
        <v>0.6108118428238194</v>
      </c>
    </row>
    <row r="22" spans="2:33" ht="15">
      <c r="E22" s="25"/>
      <c r="P22" s="49">
        <v>44040</v>
      </c>
      <c r="Q22" s="50">
        <v>1.791793585379459E-2</v>
      </c>
      <c r="R22" s="50">
        <v>1.0660919040757135E-2</v>
      </c>
      <c r="S22" s="50">
        <v>1.3895609906434694E-2</v>
      </c>
      <c r="T22" s="50">
        <v>1.7504265088215759E-2</v>
      </c>
      <c r="U22" s="50">
        <v>2.8859740233760929E-2</v>
      </c>
      <c r="V22" s="50">
        <v>1.8834410467923713E-2</v>
      </c>
      <c r="W22" s="50">
        <v>1.2326788523221867E-2</v>
      </c>
      <c r="Y22" s="52" t="s">
        <v>138</v>
      </c>
      <c r="Z22" s="63">
        <v>0.58466935373833284</v>
      </c>
      <c r="AA22" s="52">
        <v>0.1915817499058983</v>
      </c>
      <c r="AB22" s="52">
        <v>3.0518008840900164</v>
      </c>
      <c r="AC22" s="52">
        <v>3.4070874650257289E-3</v>
      </c>
      <c r="AD22" s="52">
        <v>0.20131515765056773</v>
      </c>
      <c r="AE22" s="52">
        <v>0.96802354982609795</v>
      </c>
      <c r="AF22" s="52">
        <v>0.20131515765056773</v>
      </c>
      <c r="AG22" s="52">
        <v>0.96802354982609795</v>
      </c>
    </row>
    <row r="23" spans="2:33" ht="15">
      <c r="E23" s="25"/>
      <c r="P23" s="49">
        <v>44041</v>
      </c>
      <c r="Q23" s="50">
        <v>8.9573629523493018E-3</v>
      </c>
      <c r="R23" s="50">
        <v>8.9217745757230616E-3</v>
      </c>
      <c r="S23" s="50">
        <v>-5.4061008929794381E-2</v>
      </c>
      <c r="T23" s="50">
        <v>-5.033486809288229E-2</v>
      </c>
      <c r="U23" s="50">
        <v>-8.6649460559397977E-3</v>
      </c>
      <c r="V23" s="50">
        <v>-1.0617401921746355E-2</v>
      </c>
      <c r="W23" s="50">
        <v>-1.5540556834225859E-2</v>
      </c>
      <c r="Y23" s="52" t="s">
        <v>139</v>
      </c>
      <c r="Z23" s="63">
        <v>-0.26746513081920592</v>
      </c>
      <c r="AA23" s="52">
        <v>0.17141910376049693</v>
      </c>
      <c r="AB23" s="52">
        <v>-1.5602994354287514</v>
      </c>
      <c r="AC23" s="52">
        <v>0.12403753765576149</v>
      </c>
      <c r="AD23" s="52">
        <v>-0.61047396515999364</v>
      </c>
      <c r="AE23" s="52">
        <v>7.5543703521581795E-2</v>
      </c>
      <c r="AF23" s="52">
        <v>-0.61047396515999364</v>
      </c>
      <c r="AG23" s="52">
        <v>7.5543703521581795E-2</v>
      </c>
    </row>
    <row r="24" spans="2:33" ht="15">
      <c r="E24" s="25"/>
      <c r="P24" s="49">
        <v>44042</v>
      </c>
      <c r="Q24" s="50">
        <v>-8.9565606807010829E-3</v>
      </c>
      <c r="R24" s="50">
        <v>1.2164970908333229E-2</v>
      </c>
      <c r="S24" s="50">
        <v>-9.3035231143881944E-3</v>
      </c>
      <c r="T24" s="50">
        <v>-2.1597367543294256E-2</v>
      </c>
      <c r="U24" s="50">
        <v>-2.5092430132825961E-2</v>
      </c>
      <c r="V24" s="50">
        <v>-4.0120009416439603E-2</v>
      </c>
      <c r="W24" s="50">
        <v>-1.2005606189321248E-2</v>
      </c>
      <c r="Y24" s="52" t="s">
        <v>140</v>
      </c>
      <c r="Z24" s="63">
        <v>0.16485538034368544</v>
      </c>
      <c r="AA24" s="52">
        <v>0.11210917305062416</v>
      </c>
      <c r="AB24" s="52">
        <v>1.4704896651877284</v>
      </c>
      <c r="AC24" s="52">
        <v>0.1467424205960553</v>
      </c>
      <c r="AD24" s="52">
        <v>-5.9474556771911408E-2</v>
      </c>
      <c r="AE24" s="52">
        <v>0.38918531745928231</v>
      </c>
      <c r="AF24" s="52">
        <v>-5.9474556771911408E-2</v>
      </c>
      <c r="AG24" s="52">
        <v>0.38918531745928231</v>
      </c>
    </row>
    <row r="25" spans="2:33" ht="15" thickBot="1">
      <c r="P25" s="49">
        <v>44043</v>
      </c>
      <c r="Q25" s="50">
        <v>0</v>
      </c>
      <c r="R25" s="50">
        <v>8.4565224694444427E-3</v>
      </c>
      <c r="S25" s="50">
        <v>-2.001525486993121E-2</v>
      </c>
      <c r="T25" s="50">
        <v>-5.425744273316993E-2</v>
      </c>
      <c r="U25" s="50">
        <v>-3.5338247032439984E-2</v>
      </c>
      <c r="V25" s="50">
        <v>-3.1517621055968004E-2</v>
      </c>
      <c r="W25" s="50">
        <v>-4.2560695894175347E-2</v>
      </c>
      <c r="Y25" s="53" t="s">
        <v>141</v>
      </c>
      <c r="Z25" s="64">
        <v>-5.6466207144647056E-2</v>
      </c>
      <c r="AA25" s="53">
        <v>8.0327346449280732E-2</v>
      </c>
      <c r="AB25" s="53">
        <v>-0.70295123193569242</v>
      </c>
      <c r="AC25" s="53">
        <v>0.48485072445936994</v>
      </c>
      <c r="AD25" s="53">
        <v>-0.21720085612375292</v>
      </c>
      <c r="AE25" s="53">
        <v>0.1042684418344588</v>
      </c>
      <c r="AF25" s="53">
        <v>-0.21720085612375292</v>
      </c>
      <c r="AG25" s="53">
        <v>0.1042684418344588</v>
      </c>
    </row>
    <row r="26" spans="2:33">
      <c r="P26" s="49">
        <v>44046</v>
      </c>
      <c r="Q26" s="50">
        <v>3.5829451809377959E-2</v>
      </c>
      <c r="R26" s="50">
        <v>2.7741998257871141E-2</v>
      </c>
      <c r="S26" s="50">
        <v>6.1680968715893993E-3</v>
      </c>
      <c r="T26" s="50">
        <v>-1.4745836321218351E-2</v>
      </c>
      <c r="U26" s="50">
        <v>7.6704434469136006E-3</v>
      </c>
      <c r="V26" s="50">
        <v>-7.8192353188876011E-3</v>
      </c>
      <c r="W26" s="50">
        <v>-7.0732318127047736E-2</v>
      </c>
    </row>
    <row r="27" spans="2:33" ht="15">
      <c r="E27" s="25"/>
      <c r="P27" s="49">
        <v>44047</v>
      </c>
      <c r="Q27" s="50">
        <v>1.7908309455592339E-2</v>
      </c>
      <c r="R27" s="50">
        <v>6.6585490269035937E-3</v>
      </c>
      <c r="S27" s="50">
        <v>8.4400330243223649E-3</v>
      </c>
      <c r="T27" s="50">
        <v>-3.5354820983127467E-4</v>
      </c>
      <c r="U27" s="50">
        <v>-2.7964005989150512E-2</v>
      </c>
      <c r="V27" s="50">
        <v>-6.9325949259227512E-2</v>
      </c>
      <c r="W27" s="50">
        <v>-8.0602836232415168E-2</v>
      </c>
    </row>
    <row r="28" spans="2:33" ht="15">
      <c r="E28" s="25"/>
      <c r="P28" s="49">
        <v>44048</v>
      </c>
      <c r="Q28" s="50">
        <v>3.5810205908674619E-2</v>
      </c>
      <c r="R28" s="50">
        <v>1.09424519661109E-2</v>
      </c>
      <c r="S28" s="50">
        <v>1.3524552472561759E-2</v>
      </c>
      <c r="T28" s="50">
        <v>1.7424937661658427E-2</v>
      </c>
      <c r="U28" s="50">
        <v>1.6201740257508466E-3</v>
      </c>
      <c r="V28" s="50">
        <v>2.9796226914826821E-2</v>
      </c>
      <c r="W28" s="50">
        <v>1.9871575912630435E-2</v>
      </c>
    </row>
    <row r="29" spans="2:33" ht="15">
      <c r="E29" s="25"/>
      <c r="P29" s="49">
        <v>44049</v>
      </c>
      <c r="Q29" s="50">
        <v>2.6848040093061389E-2</v>
      </c>
      <c r="R29" s="50">
        <v>8.4519745491372332E-3</v>
      </c>
      <c r="S29" s="50">
        <v>2.1203630580824726E-2</v>
      </c>
      <c r="T29" s="50">
        <v>3.7318218865550867E-2</v>
      </c>
      <c r="U29" s="50">
        <v>2.5112290536329577E-2</v>
      </c>
      <c r="V29" s="50">
        <v>6.2382937965588345E-2</v>
      </c>
      <c r="W29" s="50">
        <v>5.7401335748948359E-2</v>
      </c>
    </row>
    <row r="30" spans="2:33" ht="15">
      <c r="E30" s="25"/>
      <c r="P30" s="49">
        <v>44050</v>
      </c>
      <c r="Q30" s="50">
        <v>4.473472309207642E-2</v>
      </c>
      <c r="R30" s="50">
        <v>9.9562791995397807E-3</v>
      </c>
      <c r="S30" s="50">
        <v>1.243826833348001E-2</v>
      </c>
      <c r="T30" s="50">
        <v>2.8167521030979997E-2</v>
      </c>
      <c r="U30" s="50">
        <v>-2.8583665101941083E-4</v>
      </c>
      <c r="V30" s="50">
        <v>-3.3427233623285257E-2</v>
      </c>
      <c r="W30" s="50">
        <v>-2.9086693910834939E-2</v>
      </c>
    </row>
    <row r="31" spans="2:33" ht="15">
      <c r="E31" s="25"/>
      <c r="P31" s="49">
        <v>44053</v>
      </c>
      <c r="Q31" s="50">
        <v>5.365766410301831E-2</v>
      </c>
      <c r="R31" s="50">
        <v>2.679824624868091E-2</v>
      </c>
      <c r="S31" s="50">
        <v>3.633685562912263E-2</v>
      </c>
      <c r="T31" s="50">
        <v>5.6167782704864777E-2</v>
      </c>
      <c r="U31" s="50">
        <v>4.6258030246360125E-2</v>
      </c>
      <c r="V31" s="50">
        <v>3.5293315526240397E-2</v>
      </c>
      <c r="W31" s="50">
        <v>3.7093640775730408E-2</v>
      </c>
    </row>
    <row r="32" spans="2:33">
      <c r="P32" s="49">
        <v>44054</v>
      </c>
      <c r="Q32" s="50">
        <v>1.7876296031467218E-2</v>
      </c>
      <c r="R32" s="50">
        <v>9.3739801456773058E-3</v>
      </c>
      <c r="S32" s="50">
        <v>2.8377856839392736E-2</v>
      </c>
      <c r="T32" s="50">
        <v>4.5393195862563226E-2</v>
      </c>
      <c r="U32" s="50">
        <v>6.0759995162057316E-2</v>
      </c>
      <c r="V32" s="50">
        <v>7.8880794781651539E-2</v>
      </c>
      <c r="W32" s="50">
        <v>9.3424142386769465E-2</v>
      </c>
    </row>
    <row r="33" spans="1:23">
      <c r="A33" s="1" t="s">
        <v>0</v>
      </c>
      <c r="B33" s="1" t="s">
        <v>1</v>
      </c>
      <c r="C33" s="1" t="s">
        <v>2</v>
      </c>
      <c r="E33" s="1" t="s">
        <v>8</v>
      </c>
      <c r="F33" s="1" t="s">
        <v>1</v>
      </c>
      <c r="G33" s="1" t="s">
        <v>2</v>
      </c>
      <c r="H33" s="1" t="s">
        <v>9</v>
      </c>
      <c r="P33" s="49">
        <v>44055</v>
      </c>
      <c r="Q33" s="50">
        <v>3.5746201966031774E-2</v>
      </c>
      <c r="R33" s="50">
        <v>9.1995255590521657E-3</v>
      </c>
      <c r="S33" s="50">
        <v>1.70218836578537E-2</v>
      </c>
      <c r="T33" s="50">
        <v>2.697148987485928E-2</v>
      </c>
      <c r="U33" s="50">
        <v>3.7119136247218666E-2</v>
      </c>
      <c r="V33" s="50">
        <v>3.900870810569889E-2</v>
      </c>
      <c r="W33" s="50">
        <v>3.7581388366923277E-2</v>
      </c>
    </row>
    <row r="34" spans="1:23">
      <c r="A34" s="1" t="s">
        <v>3</v>
      </c>
      <c r="B34" s="59">
        <f>C12</f>
        <v>1.6634006238161423</v>
      </c>
      <c r="C34" s="2">
        <v>1.7468999999999999</v>
      </c>
      <c r="E34" s="1" t="s">
        <v>10</v>
      </c>
      <c r="F34" s="42">
        <f>B35*B39*B40/C11</f>
        <v>1.356301688468616E-2</v>
      </c>
      <c r="G34" s="42">
        <f>C35*C39*C40/C36</f>
        <v>1.0535564712097437E-2</v>
      </c>
      <c r="H34" s="43">
        <f>F34-G34</f>
        <v>3.0274521725887227E-3</v>
      </c>
      <c r="P34" s="49">
        <v>44056</v>
      </c>
      <c r="Q34" s="50">
        <v>6.2533500089350838E-2</v>
      </c>
      <c r="R34" s="50">
        <v>1.2843439056434187E-2</v>
      </c>
      <c r="S34" s="50">
        <v>2.5987722557021781E-2</v>
      </c>
      <c r="T34" s="50">
        <v>3.7195499646947995E-2</v>
      </c>
      <c r="U34" s="50">
        <v>3.0635710011125063E-2</v>
      </c>
      <c r="V34" s="50">
        <v>3.0784339931190854E-2</v>
      </c>
      <c r="W34" s="50">
        <v>3.9710908870692049E-2</v>
      </c>
    </row>
    <row r="35" spans="1:23">
      <c r="A35" s="1" t="s">
        <v>4</v>
      </c>
      <c r="B35" s="41">
        <f>C13/100</f>
        <v>5.6332258064516125E-2</v>
      </c>
      <c r="C35" s="41">
        <v>4.4463000000000003E-2</v>
      </c>
      <c r="E35" s="1" t="s">
        <v>11</v>
      </c>
      <c r="F35" s="42">
        <f>-B34*B41</f>
        <v>-8.6753869196549514E-3</v>
      </c>
      <c r="G35" s="42">
        <f>-C34*C41</f>
        <v>-9.2246486957999994E-3</v>
      </c>
      <c r="H35" s="43">
        <f t="shared" ref="H35:H37" si="3">F35-G35</f>
        <v>5.4926177614504808E-4</v>
      </c>
      <c r="P35" s="49">
        <v>44057</v>
      </c>
      <c r="Q35" s="50">
        <v>4.4638871529320875E-2</v>
      </c>
      <c r="R35" s="50">
        <v>8.9661144504280636E-3</v>
      </c>
      <c r="S35" s="50">
        <v>2.1767840311556669E-2</v>
      </c>
      <c r="T35" s="50">
        <v>4.6099224676535266E-2</v>
      </c>
      <c r="U35" s="50">
        <v>5.0885357666996381E-2</v>
      </c>
      <c r="V35" s="50">
        <v>2.6321267584200028E-2</v>
      </c>
      <c r="W35" s="50">
        <v>1.3981690948924926E-2</v>
      </c>
    </row>
    <row r="36" spans="1:23">
      <c r="A36" s="1" t="s">
        <v>5</v>
      </c>
      <c r="B36" s="57">
        <f>[1]!WSS($C$10,"nav","tradeDate=20200630","ShowCodes=N","cols=1;rows=1")</f>
        <v>1.1164000000000001</v>
      </c>
      <c r="C36" s="32">
        <f>[1]!WSS(C17,"close","tradeDate=20200630","priceAdj=F","cycle=D","ShowCodes=N","cols=1;rows=1")</f>
        <v>184.9434</v>
      </c>
      <c r="E36" s="1" t="s">
        <v>12</v>
      </c>
      <c r="F36" s="42">
        <f>-C44*B34</f>
        <v>8.6730769611336844E-4</v>
      </c>
      <c r="G36" s="42">
        <f>C38/100-G34-G35</f>
        <v>9.1084480349930969E-4</v>
      </c>
      <c r="H36" s="43">
        <f t="shared" si="3"/>
        <v>-4.3537107385941244E-5</v>
      </c>
      <c r="P36" s="49">
        <v>44060</v>
      </c>
      <c r="Q36" s="50">
        <v>7.1390326610744778E-2</v>
      </c>
      <c r="R36" s="50">
        <v>2.7763542535483441E-2</v>
      </c>
      <c r="S36" s="50">
        <v>5.7782928438812914E-2</v>
      </c>
      <c r="T36" s="50">
        <v>9.4119945774009436E-2</v>
      </c>
      <c r="U36" s="50">
        <v>7.4387927576101034E-2</v>
      </c>
      <c r="V36" s="50">
        <v>4.317352957362898E-2</v>
      </c>
      <c r="W36" s="50">
        <v>1.5479478175538911E-2</v>
      </c>
    </row>
    <row r="37" spans="1:23">
      <c r="A37" s="1" t="s">
        <v>7</v>
      </c>
      <c r="B37" s="57">
        <f>[1]!WSS($C$10,"nav","tradeDate=20200930","ShowCodes=N","cols=1;rows=1")</f>
        <v>1.1249</v>
      </c>
      <c r="C37" s="33">
        <f>[1]!WSS(C17,"close","tradeDate=20200930","priceAdj=F","cycle=D","ShowCodes=N","cols=1;rows=1")</f>
        <v>185.35429999999999</v>
      </c>
      <c r="E37" s="1" t="s">
        <v>13</v>
      </c>
      <c r="F37" s="42">
        <f>B38/100-F34-F35-F36</f>
        <v>1.8588208483501843E-3</v>
      </c>
      <c r="G37" s="42">
        <v>0</v>
      </c>
      <c r="H37" s="43">
        <f t="shared" si="3"/>
        <v>1.8588208483501843E-3</v>
      </c>
      <c r="P37" s="49">
        <v>44061</v>
      </c>
      <c r="Q37" s="50">
        <v>3.5669698591037587E-2</v>
      </c>
      <c r="R37" s="50">
        <v>4.972920711984203E-3</v>
      </c>
      <c r="S37" s="50">
        <v>2.4449112383878834E-2</v>
      </c>
      <c r="T37" s="50">
        <v>4.5430922106854427E-2</v>
      </c>
      <c r="U37" s="50">
        <v>3.4767723583305099E-2</v>
      </c>
      <c r="V37" s="50">
        <v>3.3403791330302093E-2</v>
      </c>
      <c r="W37" s="50">
        <v>8.7828426098561767E-3</v>
      </c>
    </row>
    <row r="38" spans="1:23">
      <c r="A38" s="1" t="s">
        <v>6</v>
      </c>
      <c r="B38" s="32">
        <f>[1]!WSS("003258.OF","NAV_div_return","startDate=20200701","endDate=20200930","ShowCodes=N","cols=1;rows=1")</f>
        <v>0.76137585094947613</v>
      </c>
      <c r="C38" s="32">
        <f>[1]!WSS("CBA02721.CS","pct_chg_per","startDate=20200701","endDate=20200930","ShowCodes=N","cols=1;rows=1")</f>
        <v>0.22217608197967476</v>
      </c>
      <c r="E38" s="1" t="s">
        <v>6</v>
      </c>
      <c r="F38" s="44">
        <f>SUM(F34:F37)</f>
        <v>7.6137585094947615E-3</v>
      </c>
      <c r="G38" s="44">
        <f>SUM(G34:G37)</f>
        <v>2.2217608197967476E-3</v>
      </c>
      <c r="H38" s="43">
        <f>SUM(H34:H37)</f>
        <v>5.3919976896980139E-3</v>
      </c>
      <c r="L38" s="28"/>
      <c r="P38" s="49">
        <v>44062</v>
      </c>
      <c r="Q38" s="50">
        <v>2.6742734890381332E-2</v>
      </c>
      <c r="R38" s="50">
        <v>6.9386140812894149E-4</v>
      </c>
      <c r="S38" s="50">
        <v>9.7125044717993013E-3</v>
      </c>
      <c r="T38" s="50">
        <v>3.5704659106037418E-3</v>
      </c>
      <c r="U38" s="50">
        <v>-1.424411468791436E-2</v>
      </c>
      <c r="V38" s="50">
        <v>-5.3688161760323941E-2</v>
      </c>
      <c r="W38" s="50">
        <v>-6.6133280783707241E-2</v>
      </c>
    </row>
    <row r="39" spans="1:23">
      <c r="A39" s="1" t="s">
        <v>14</v>
      </c>
      <c r="B39" s="9">
        <f>SUM(N2:N6)</f>
        <v>1.0751745142346048</v>
      </c>
      <c r="C39" s="9">
        <f>C21</f>
        <v>175.29030058928288</v>
      </c>
      <c r="P39" s="49">
        <v>44063</v>
      </c>
      <c r="Q39" s="50">
        <v>8.9118616878899101E-3</v>
      </c>
      <c r="R39" s="50">
        <v>3.4692829685468806E-4</v>
      </c>
      <c r="S39" s="50">
        <v>-4.1004369663006123E-3</v>
      </c>
      <c r="T39" s="50">
        <v>-4.0530884181743297E-2</v>
      </c>
      <c r="U39" s="50">
        <v>-2.6450340554071302E-2</v>
      </c>
      <c r="V39" s="50">
        <v>-1.9106047063890286E-2</v>
      </c>
      <c r="W39" s="50">
        <v>-3.8098687926199616E-2</v>
      </c>
    </row>
    <row r="40" spans="1:23">
      <c r="A40" s="1" t="s">
        <v>15</v>
      </c>
      <c r="B40" s="2">
        <v>0.25</v>
      </c>
      <c r="C40" s="2">
        <v>0.25</v>
      </c>
      <c r="P40" s="49">
        <v>44064</v>
      </c>
      <c r="Q40" s="50">
        <v>-1.7822135091769765E-2</v>
      </c>
      <c r="R40" s="50">
        <v>9.8296009760191891E-4</v>
      </c>
      <c r="S40" s="50">
        <v>-3.3398349506448204E-2</v>
      </c>
      <c r="T40" s="50">
        <v>-1.9871204411308709E-2</v>
      </c>
      <c r="U40" s="50">
        <v>1.282492176797095E-2</v>
      </c>
      <c r="V40" s="50">
        <v>9.5048236980152592E-3</v>
      </c>
      <c r="W40" s="50">
        <v>-1.5491866769942051E-2</v>
      </c>
    </row>
    <row r="41" spans="1:23">
      <c r="A41" s="1" t="s">
        <v>16</v>
      </c>
      <c r="B41" s="41">
        <v>5.2154524865765904E-3</v>
      </c>
      <c r="C41" s="41">
        <v>5.2805819999999998E-3</v>
      </c>
      <c r="P41" s="49">
        <v>44067</v>
      </c>
      <c r="Q41" s="50">
        <v>2.673796791442673E-2</v>
      </c>
      <c r="R41" s="50">
        <v>1.7866569682225185E-2</v>
      </c>
      <c r="S41" s="50">
        <v>5.7211757987845327E-3</v>
      </c>
      <c r="T41" s="50">
        <v>2.3145748780121402E-3</v>
      </c>
      <c r="U41" s="50">
        <v>-1.6717753969755698E-2</v>
      </c>
      <c r="V41" s="50">
        <v>-5.3171933422524832E-2</v>
      </c>
      <c r="W41" s="50">
        <v>-8.2671833566910574E-2</v>
      </c>
    </row>
    <row r="42" spans="1:23">
      <c r="P42" s="49">
        <v>44068</v>
      </c>
      <c r="Q42" s="50">
        <v>-2.6730820636181762E-2</v>
      </c>
      <c r="R42" s="50">
        <v>-6.359131365826343E-4</v>
      </c>
      <c r="S42" s="50">
        <v>-4.1449166483178521E-2</v>
      </c>
      <c r="T42" s="50">
        <v>-8.065603596967702E-2</v>
      </c>
      <c r="U42" s="50">
        <v>-8.9872952326483735E-2</v>
      </c>
      <c r="V42" s="50">
        <v>-0.15004163930750863</v>
      </c>
      <c r="W42" s="50">
        <v>-0.1612415113453925</v>
      </c>
    </row>
    <row r="43" spans="1:23">
      <c r="A43" s="1" t="s">
        <v>17</v>
      </c>
      <c r="B43" s="1"/>
      <c r="C43" s="6">
        <f>G36</f>
        <v>9.1084480349930969E-4</v>
      </c>
      <c r="P43" s="49">
        <v>44069</v>
      </c>
      <c r="Q43" s="50">
        <v>-3.5650623885947003E-2</v>
      </c>
      <c r="R43" s="50">
        <v>3.6998817772228958E-3</v>
      </c>
      <c r="S43" s="50">
        <v>-3.8226795039582727E-2</v>
      </c>
      <c r="T43" s="50">
        <v>-7.4426605446848135E-2</v>
      </c>
      <c r="U43" s="50">
        <v>-3.8701051964958974E-2</v>
      </c>
      <c r="V43" s="50">
        <v>-1.6690775564703067E-2</v>
      </c>
      <c r="W43" s="50">
        <v>6.6643054960708716E-3</v>
      </c>
    </row>
    <row r="44" spans="1:23">
      <c r="A44" s="1" t="s">
        <v>18</v>
      </c>
      <c r="B44" s="1"/>
      <c r="C44" s="42">
        <f>-C43/C34</f>
        <v>-5.2140637901385868E-4</v>
      </c>
      <c r="P44" s="49">
        <v>44070</v>
      </c>
      <c r="Q44" s="50">
        <v>-4.45791726105495E-2</v>
      </c>
      <c r="R44" s="50">
        <v>1.7342554175626729E-4</v>
      </c>
      <c r="S44" s="50">
        <v>-4.8179859954329204E-2</v>
      </c>
      <c r="T44" s="50">
        <v>-6.9996991489987656E-2</v>
      </c>
      <c r="U44" s="50">
        <v>-5.6219108028203554E-2</v>
      </c>
      <c r="V44" s="50">
        <v>1.6392776951443332E-2</v>
      </c>
      <c r="W44" s="50">
        <v>-1.9884102552576739E-3</v>
      </c>
    </row>
    <row r="45" spans="1:23">
      <c r="P45" s="49">
        <v>44071</v>
      </c>
      <c r="Q45" s="50">
        <v>-4.4599054500037753E-2</v>
      </c>
      <c r="R45" s="50">
        <v>5.7808413669677898E-5</v>
      </c>
      <c r="S45" s="50">
        <v>-4.5933432189288949E-2</v>
      </c>
      <c r="T45" s="50">
        <v>-6.4397962260880001E-2</v>
      </c>
      <c r="U45" s="50">
        <v>-3.7452898340364409E-2</v>
      </c>
      <c r="V45" s="50">
        <v>-3.2880425520818532E-2</v>
      </c>
      <c r="W45" s="50">
        <v>2.6817201273042126E-2</v>
      </c>
    </row>
    <row r="46" spans="1:23">
      <c r="P46" s="49">
        <v>44074</v>
      </c>
      <c r="Q46" s="50">
        <v>-8.9237908263454947E-3</v>
      </c>
      <c r="R46" s="50">
        <v>2.4973220267856866E-2</v>
      </c>
      <c r="S46" s="50">
        <v>-1.4056683033697361E-3</v>
      </c>
      <c r="T46" s="50">
        <v>8.578471568672384E-4</v>
      </c>
      <c r="U46" s="50">
        <v>-1.7138621454875673E-3</v>
      </c>
      <c r="V46" s="50">
        <v>-7.7715583027332599E-3</v>
      </c>
      <c r="W46" s="50">
        <v>-3.0463480089943241E-2</v>
      </c>
    </row>
    <row r="47" spans="1:23">
      <c r="P47" s="49">
        <v>44075</v>
      </c>
      <c r="Q47" s="50">
        <v>3.5698348951370862E-2</v>
      </c>
      <c r="R47" s="50">
        <v>5.4904249877926053E-3</v>
      </c>
      <c r="S47" s="50">
        <v>-2.1085320940142332E-3</v>
      </c>
      <c r="T47" s="50">
        <v>1.5642961020771787E-2</v>
      </c>
      <c r="U47" s="50">
        <v>1.975736056896675E-2</v>
      </c>
      <c r="V47" s="50">
        <v>-9.3265947850255902E-3</v>
      </c>
      <c r="W47" s="50">
        <v>-6.8254689957076243E-3</v>
      </c>
    </row>
    <row r="48" spans="1:23">
      <c r="P48" s="49">
        <v>44076</v>
      </c>
      <c r="Q48" s="50">
        <v>-1.7842804888933469E-2</v>
      </c>
      <c r="R48" s="50">
        <v>6.1258220737539738E-3</v>
      </c>
      <c r="S48" s="50">
        <v>-2.1464227998766485E-2</v>
      </c>
      <c r="T48" s="50">
        <v>-2.2905785577629813E-2</v>
      </c>
      <c r="U48" s="50">
        <v>-1.7135529663982432E-2</v>
      </c>
      <c r="V48" s="50">
        <v>-4.678776657869059E-2</v>
      </c>
      <c r="W48" s="50">
        <v>-4.4556693151665022E-2</v>
      </c>
    </row>
    <row r="49" spans="16:23">
      <c r="P49" s="49">
        <v>44077</v>
      </c>
      <c r="Q49" s="50">
        <v>-2.6768983670908179E-2</v>
      </c>
      <c r="R49" s="50">
        <v>1.0979574524187022E-3</v>
      </c>
      <c r="S49" s="50">
        <v>-2.9526409372306148E-2</v>
      </c>
      <c r="T49" s="50">
        <v>-4.3803473797150994E-2</v>
      </c>
      <c r="U49" s="50">
        <v>-5.5223947388709685E-2</v>
      </c>
      <c r="V49" s="50">
        <v>-0.10731605506382036</v>
      </c>
      <c r="W49" s="50">
        <v>-0.11308141754519735</v>
      </c>
    </row>
    <row r="50" spans="16:23">
      <c r="P50" s="49">
        <v>44078</v>
      </c>
      <c r="Q50" s="50">
        <v>8.925383791486316E-3</v>
      </c>
      <c r="R50" s="50">
        <v>2.9471165931325089E-3</v>
      </c>
      <c r="S50" s="50">
        <v>-8.9795450291633057E-3</v>
      </c>
      <c r="T50" s="50">
        <v>-1.6408257644985314E-2</v>
      </c>
      <c r="U50" s="50">
        <v>-1.4051781051346142E-2</v>
      </c>
      <c r="V50" s="50">
        <v>3.4504597850659104E-2</v>
      </c>
      <c r="W50" s="50">
        <v>9.7382724875234528E-2</v>
      </c>
    </row>
    <row r="51" spans="16:23">
      <c r="P51" s="49">
        <v>44081</v>
      </c>
      <c r="Q51" s="50">
        <v>0</v>
      </c>
      <c r="R51" s="50">
        <v>2.0975917566384054E-2</v>
      </c>
      <c r="S51" s="50">
        <v>-5.8426382757819726E-3</v>
      </c>
      <c r="T51" s="50">
        <v>-1.4946588668358858E-2</v>
      </c>
      <c r="U51" s="50">
        <v>-1.5768790467070793E-2</v>
      </c>
      <c r="V51" s="50">
        <v>-5.6533880664301352E-2</v>
      </c>
      <c r="W51" s="50">
        <v>-6.5611575172587533E-2</v>
      </c>
    </row>
    <row r="52" spans="16:23">
      <c r="P52" s="49">
        <v>44082</v>
      </c>
      <c r="Q52" s="50">
        <v>8.9245872378427155E-3</v>
      </c>
      <c r="R52" s="50">
        <v>-1.0976827916304749E-3</v>
      </c>
      <c r="S52" s="50">
        <v>-6.4921996220619681E-4</v>
      </c>
      <c r="T52" s="50">
        <v>-4.545250238759244E-3</v>
      </c>
      <c r="U52" s="50">
        <v>-6.6706309273368196E-3</v>
      </c>
      <c r="V52" s="50">
        <v>-4.5865568170395721E-2</v>
      </c>
      <c r="W52" s="50">
        <v>-4.7034562331021268E-2</v>
      </c>
    </row>
    <row r="53" spans="16:23">
      <c r="P53" s="49">
        <v>44083</v>
      </c>
      <c r="Q53" s="50">
        <v>2.6771372479036486E-2</v>
      </c>
      <c r="R53" s="50">
        <v>7.9149575365417089E-3</v>
      </c>
      <c r="S53" s="50">
        <v>1.4878054058719614E-2</v>
      </c>
      <c r="T53" s="50">
        <v>1.9949505025004491E-2</v>
      </c>
      <c r="U53" s="50">
        <v>3.6595616531303332E-2</v>
      </c>
      <c r="V53" s="50">
        <v>3.317104650127084E-2</v>
      </c>
      <c r="W53" s="50">
        <v>5.4594380978333662E-2</v>
      </c>
    </row>
    <row r="54" spans="16:23">
      <c r="P54" s="49">
        <v>44084</v>
      </c>
      <c r="Q54" s="50">
        <v>2.6764207333381029E-2</v>
      </c>
      <c r="R54" s="50">
        <v>6.643416634066087E-3</v>
      </c>
      <c r="S54" s="50">
        <v>3.1374500645081994E-2</v>
      </c>
      <c r="T54" s="50">
        <v>4.3829662178339696E-2</v>
      </c>
      <c r="U54" s="50">
        <v>5.0729262925249909E-2</v>
      </c>
      <c r="V54" s="50">
        <v>4.0796906268115017E-2</v>
      </c>
      <c r="W54" s="50">
        <v>1.985634552839555E-2</v>
      </c>
    </row>
    <row r="55" spans="16:23">
      <c r="P55" s="49">
        <v>44085</v>
      </c>
      <c r="Q55" s="50">
        <v>2.6757046022126547E-2</v>
      </c>
      <c r="R55" s="50">
        <v>9.5312254498783073E-3</v>
      </c>
      <c r="S55" s="50">
        <v>2.5686575114297262E-2</v>
      </c>
      <c r="T55" s="50">
        <v>3.2756899390385723E-2</v>
      </c>
      <c r="U55" s="50">
        <v>2.5851664766281438E-2</v>
      </c>
      <c r="V55" s="50">
        <v>-4.2538039403180752E-2</v>
      </c>
      <c r="W55" s="50">
        <v>-4.0242812649806517E-2</v>
      </c>
    </row>
    <row r="56" spans="16:23">
      <c r="P56" s="49">
        <v>44088</v>
      </c>
      <c r="Q56" s="50">
        <v>2.6749888542119297E-2</v>
      </c>
      <c r="R56" s="50">
        <v>2.9226305754522636E-2</v>
      </c>
      <c r="S56" s="50">
        <v>2.3193075596452947E-2</v>
      </c>
      <c r="T56" s="50">
        <v>1.9778890172159044E-2</v>
      </c>
      <c r="U56" s="50">
        <v>2.4464680426542654E-2</v>
      </c>
      <c r="V56" s="50">
        <v>3.0598217766850275E-2</v>
      </c>
      <c r="W56" s="50">
        <v>-2.3843239580419631E-2</v>
      </c>
    </row>
    <row r="57" spans="16:23">
      <c r="P57" s="49">
        <v>44089</v>
      </c>
      <c r="Q57" s="50">
        <v>2.6742734890381332E-2</v>
      </c>
      <c r="R57" s="50">
        <v>1.460888324038637E-2</v>
      </c>
      <c r="S57" s="50">
        <v>2.2647191883331978E-2</v>
      </c>
      <c r="T57" s="50">
        <v>3.6422282567301456E-2</v>
      </c>
      <c r="U57" s="50">
        <v>4.2398246587428197E-2</v>
      </c>
      <c r="V57" s="50">
        <v>3.7671007538730601E-2</v>
      </c>
      <c r="W57" s="50">
        <v>5.4481067828932528E-2</v>
      </c>
    </row>
    <row r="58" spans="16:23">
      <c r="P58" s="49">
        <v>44090</v>
      </c>
      <c r="Q58" s="50">
        <v>2.6735585063708035E-2</v>
      </c>
      <c r="R58" s="50">
        <v>1.3798470736848492E-2</v>
      </c>
      <c r="S58" s="50">
        <v>3.5287035445912315E-2</v>
      </c>
      <c r="T58" s="50">
        <v>3.7770577778890993E-2</v>
      </c>
      <c r="U58" s="50">
        <v>7.6436708075045837E-2</v>
      </c>
      <c r="V58" s="50">
        <v>0.12497043939485583</v>
      </c>
      <c r="W58" s="50">
        <v>0.14021774104160495</v>
      </c>
    </row>
    <row r="59" spans="16:23">
      <c r="P59" s="49">
        <v>44091</v>
      </c>
      <c r="Q59" s="50">
        <v>3.5637918745535957E-2</v>
      </c>
      <c r="R59" s="50">
        <v>1.345020969048797E-2</v>
      </c>
      <c r="S59" s="50">
        <v>1.9933113330824759E-2</v>
      </c>
      <c r="T59" s="50">
        <v>2.8027386184110849E-2</v>
      </c>
      <c r="U59" s="50">
        <v>1.2927756653989281E-2</v>
      </c>
      <c r="V59" s="50">
        <v>4.1621534881811466E-3</v>
      </c>
      <c r="W59" s="50">
        <v>1.1337113087444242E-2</v>
      </c>
    </row>
    <row r="60" spans="16:23">
      <c r="P60" s="49">
        <v>44092</v>
      </c>
      <c r="Q60" s="50">
        <v>1.7812611328825723E-2</v>
      </c>
      <c r="R60" s="50">
        <v>1.0908788674254415E-2</v>
      </c>
      <c r="S60" s="50">
        <v>1.6904664175067211E-2</v>
      </c>
      <c r="T60" s="50">
        <v>1.5723191203082427E-2</v>
      </c>
      <c r="U60" s="50">
        <v>-8.7916391036847227E-3</v>
      </c>
      <c r="V60" s="50">
        <v>-2.7228376882849074E-2</v>
      </c>
      <c r="W60" s="50">
        <v>-2.6486081376210637E-2</v>
      </c>
    </row>
    <row r="61" spans="16:23">
      <c r="P61" s="49">
        <v>44095</v>
      </c>
      <c r="Q61" s="50">
        <v>5.3428317008009867E-2</v>
      </c>
      <c r="R61" s="50">
        <v>2.8682944959333941E-2</v>
      </c>
      <c r="S61" s="50">
        <v>3.3209620746128501E-2</v>
      </c>
      <c r="T61" s="50">
        <v>5.4216327176382847E-2</v>
      </c>
      <c r="U61" s="50">
        <v>5.3467370883420191E-2</v>
      </c>
      <c r="V61" s="50">
        <v>2.2320308973265444E-2</v>
      </c>
      <c r="W61" s="50">
        <v>2.912628663490828E-2</v>
      </c>
    </row>
    <row r="62" spans="16:23">
      <c r="P62" s="49">
        <v>44096</v>
      </c>
      <c r="Q62" s="50">
        <v>1.7799928800270589E-2</v>
      </c>
      <c r="R62" s="50">
        <v>6.1157350940558644E-3</v>
      </c>
      <c r="S62" s="50">
        <v>2.3913785136541289E-2</v>
      </c>
      <c r="T62" s="50">
        <v>2.6287720612896259E-2</v>
      </c>
      <c r="U62" s="50">
        <v>2.4700600224595394E-2</v>
      </c>
      <c r="V62" s="50">
        <v>5.0146804771206447E-4</v>
      </c>
      <c r="W62" s="50">
        <v>-3.223373324651837E-3</v>
      </c>
    </row>
    <row r="63" spans="16:23">
      <c r="P63" s="49">
        <v>44097</v>
      </c>
      <c r="Q63" s="50">
        <v>8.8983804947524153E-3</v>
      </c>
      <c r="R63" s="50">
        <v>1.0269191272337823E-2</v>
      </c>
      <c r="S63" s="50">
        <v>9.7683076164217664E-3</v>
      </c>
      <c r="T63" s="50">
        <v>2.1850330272268823E-2</v>
      </c>
      <c r="U63" s="50">
        <v>-1.2014824298636123E-2</v>
      </c>
      <c r="V63" s="50">
        <v>-9.6231235786588279E-2</v>
      </c>
      <c r="W63" s="50">
        <v>-6.4093472243717309E-2</v>
      </c>
    </row>
    <row r="64" spans="16:23">
      <c r="P64" s="49">
        <v>44098</v>
      </c>
      <c r="Q64" s="50">
        <v>1.7795177506919672E-2</v>
      </c>
      <c r="R64" s="50">
        <v>7.7876318561407526E-3</v>
      </c>
      <c r="S64" s="50">
        <v>1.171003155771556E-2</v>
      </c>
      <c r="T64" s="50">
        <v>1.902677540452247E-2</v>
      </c>
      <c r="U64" s="50">
        <v>1.1873782640437489E-2</v>
      </c>
      <c r="V64" s="50">
        <v>-2.4746064221315419E-2</v>
      </c>
      <c r="W64" s="50">
        <v>-3.8599016961524138E-2</v>
      </c>
    </row>
    <row r="65" spans="16:23">
      <c r="P65" s="49">
        <v>44099</v>
      </c>
      <c r="Q65" s="50">
        <v>1.7792011386892199E-2</v>
      </c>
      <c r="R65" s="50">
        <v>3.8646718807186131E-3</v>
      </c>
      <c r="S65" s="50">
        <v>-1.3543197133379453E-2</v>
      </c>
      <c r="T65" s="50">
        <v>1.5550675070407112E-2</v>
      </c>
      <c r="U65" s="50">
        <v>2.6784073354166868E-2</v>
      </c>
      <c r="V65" s="50">
        <v>-5.1211426373771844E-3</v>
      </c>
      <c r="W65" s="50">
        <v>6.4535802042883254E-3</v>
      </c>
    </row>
    <row r="66" spans="16:23">
      <c r="P66" s="49">
        <v>44102</v>
      </c>
      <c r="Q66" s="51">
        <v>2.6683269589955341E-2</v>
      </c>
      <c r="R66" s="50">
        <v>3.0564744201956903E-3</v>
      </c>
      <c r="S66" s="50">
        <v>-5.6651751968805298E-3</v>
      </c>
      <c r="T66" s="50">
        <v>5.7855289331705285E-3</v>
      </c>
      <c r="U66" s="50">
        <v>2.1980891341761191E-2</v>
      </c>
      <c r="V66" s="50">
        <v>6.5814957479058784E-3</v>
      </c>
      <c r="W66" s="50">
        <v>-1.4207366196475668E-2</v>
      </c>
    </row>
    <row r="67" spans="16:23">
      <c r="P67" s="49">
        <v>44103</v>
      </c>
      <c r="Q67" s="51">
        <v>8.8920505068493336E-3</v>
      </c>
      <c r="R67" s="50">
        <v>6.9201079306169533E-3</v>
      </c>
      <c r="S67" s="50">
        <v>6.5827669635784639E-3</v>
      </c>
      <c r="T67" s="50">
        <v>3.2548005793251338E-2</v>
      </c>
      <c r="U67" s="50">
        <v>3.7164698946958862E-2</v>
      </c>
      <c r="V67" s="50">
        <v>9.0426814564749016E-3</v>
      </c>
      <c r="W67" s="50">
        <v>2.1044960324055027E-2</v>
      </c>
    </row>
    <row r="68" spans="16:23">
      <c r="P68" s="49">
        <v>44104</v>
      </c>
      <c r="Q68" s="51">
        <v>1.778251978305817E-2</v>
      </c>
      <c r="R68" s="50">
        <v>2.1739168041462965E-2</v>
      </c>
      <c r="S68" s="50">
        <v>5.2334947983275187E-3</v>
      </c>
      <c r="T68" s="50">
        <v>1.4734872867706939E-2</v>
      </c>
      <c r="U68" s="50">
        <v>-2.524172989356431E-2</v>
      </c>
      <c r="V68" s="50">
        <v>-2.3307915649459773E-2</v>
      </c>
      <c r="W68" s="50">
        <v>-1.2322971633484052E-2</v>
      </c>
    </row>
    <row r="69" spans="16:23">
      <c r="P69" s="49" t="s">
        <v>3</v>
      </c>
      <c r="Q69" s="51"/>
      <c r="R69" s="51">
        <v>0.42870000000000003</v>
      </c>
      <c r="S69" s="51">
        <v>1.7468999999999999</v>
      </c>
      <c r="T69" s="51">
        <v>2.7629999999999999</v>
      </c>
      <c r="U69" s="51">
        <v>3.6166</v>
      </c>
      <c r="V69" s="51">
        <v>5.36</v>
      </c>
      <c r="W69" s="51">
        <v>5.8331</v>
      </c>
    </row>
    <row r="70" spans="16:23">
      <c r="P70" t="s">
        <v>111</v>
      </c>
      <c r="Q70" s="37"/>
      <c r="R70" s="51">
        <v>0.1300087326780551</v>
      </c>
      <c r="S70" s="51">
        <v>0.23200357325094373</v>
      </c>
      <c r="T70" s="51">
        <v>0.58466935373833284</v>
      </c>
      <c r="U70" s="51">
        <v>-0.26746513081920592</v>
      </c>
      <c r="V70" s="51">
        <v>0.16485538034368544</v>
      </c>
      <c r="W70" s="51">
        <v>-5.6466207144647056E-2</v>
      </c>
    </row>
    <row r="71" spans="16:23">
      <c r="Q71" s="37"/>
      <c r="R71" s="51"/>
      <c r="S71" s="51"/>
      <c r="T71" s="51"/>
      <c r="U71" s="51"/>
      <c r="V71" s="51"/>
      <c r="W71" s="51"/>
    </row>
    <row r="72" spans="16:23">
      <c r="Q72" s="37"/>
    </row>
    <row r="73" spans="16:23">
      <c r="Q73" s="37"/>
    </row>
    <row r="74" spans="16:23">
      <c r="Q74" s="37"/>
    </row>
    <row r="75" spans="16:23">
      <c r="Q75" s="37"/>
    </row>
    <row r="76" spans="16:23">
      <c r="Q76" s="37"/>
    </row>
    <row r="77" spans="16:23">
      <c r="Q77" s="37"/>
    </row>
    <row r="78" spans="16:23">
      <c r="Q78" s="37"/>
    </row>
    <row r="79" spans="16:23">
      <c r="Q79" s="37"/>
    </row>
    <row r="80" spans="16:23">
      <c r="Q80" s="37"/>
    </row>
    <row r="81" spans="17:17">
      <c r="Q81" s="37"/>
    </row>
    <row r="82" spans="17:17">
      <c r="Q82" s="37"/>
    </row>
    <row r="83" spans="17:17">
      <c r="Q83" s="37"/>
    </row>
    <row r="84" spans="17:17">
      <c r="Q84" s="37"/>
    </row>
    <row r="85" spans="17:17">
      <c r="Q85" s="37"/>
    </row>
    <row r="86" spans="17:17">
      <c r="Q86" s="37"/>
    </row>
    <row r="87" spans="17:17">
      <c r="Q87" s="37"/>
    </row>
    <row r="88" spans="17:17">
      <c r="Q88" s="37"/>
    </row>
    <row r="89" spans="17:17">
      <c r="Q89" s="37"/>
    </row>
    <row r="90" spans="17:17">
      <c r="Q90" s="37"/>
    </row>
    <row r="91" spans="17:17">
      <c r="Q91" s="37"/>
    </row>
    <row r="92" spans="17:17">
      <c r="Q92" s="37"/>
    </row>
    <row r="93" spans="17:17">
      <c r="Q93" s="37"/>
    </row>
    <row r="94" spans="17:17">
      <c r="Q94" s="37"/>
    </row>
    <row r="95" spans="17:17">
      <c r="Q95" s="37"/>
    </row>
    <row r="96" spans="17:17">
      <c r="Q96" s="37"/>
    </row>
    <row r="97" spans="17:17">
      <c r="Q97" s="37"/>
    </row>
    <row r="98" spans="17:17">
      <c r="Q98" s="37"/>
    </row>
    <row r="99" spans="17:17">
      <c r="Q99" s="37"/>
    </row>
    <row r="100" spans="17:17">
      <c r="Q100" s="37"/>
    </row>
    <row r="101" spans="17:17">
      <c r="Q101" s="37"/>
    </row>
    <row r="102" spans="17:17">
      <c r="Q102" s="37"/>
    </row>
    <row r="103" spans="17:17">
      <c r="Q103" s="37"/>
    </row>
    <row r="104" spans="17:17">
      <c r="Q104" s="37"/>
    </row>
    <row r="105" spans="17:17">
      <c r="Q105" s="37"/>
    </row>
    <row r="106" spans="17:17">
      <c r="Q106" s="37"/>
    </row>
    <row r="107" spans="17:17">
      <c r="Q107" s="37"/>
    </row>
    <row r="108" spans="17:17">
      <c r="Q108" s="37"/>
    </row>
    <row r="109" spans="17:17">
      <c r="Q109" s="37"/>
    </row>
    <row r="110" spans="17:17">
      <c r="Q110" s="37"/>
    </row>
    <row r="111" spans="17:17">
      <c r="Q111" s="37"/>
    </row>
    <row r="112" spans="17:17">
      <c r="Q112" s="37"/>
    </row>
    <row r="113" spans="17:17">
      <c r="Q113" s="37"/>
    </row>
    <row r="114" spans="17:17">
      <c r="Q114" s="37"/>
    </row>
    <row r="115" spans="17:17">
      <c r="Q115" s="37"/>
    </row>
    <row r="116" spans="17:17">
      <c r="Q116" s="37"/>
    </row>
    <row r="117" spans="17:17">
      <c r="Q117" s="37"/>
    </row>
    <row r="118" spans="17:17">
      <c r="Q118" s="37"/>
    </row>
    <row r="119" spans="17:17">
      <c r="Q119" s="37"/>
    </row>
    <row r="120" spans="17:17">
      <c r="Q120" s="37"/>
    </row>
    <row r="121" spans="17:17">
      <c r="Q121" s="37"/>
    </row>
    <row r="122" spans="17:17">
      <c r="Q122" s="37"/>
    </row>
    <row r="123" spans="17:17">
      <c r="Q123" s="37"/>
    </row>
    <row r="124" spans="17:17">
      <c r="Q124" s="37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Worksheet</vt:lpstr>
      <vt:lpstr>广发政策性金融债</vt:lpstr>
      <vt:lpstr>博时富祥纯债A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2020-11-13T07:08:18Z</dcterms:modified>
</cp:coreProperties>
</file>